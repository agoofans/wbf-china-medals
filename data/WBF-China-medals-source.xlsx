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4a30edb420463f" /></Relationships>
</file>

<file path=xl/workbook.xml><?xml version="1.0" encoding="utf-8"?>
<x:workbook xmlns:x="http://schemas.openxmlformats.org/spreadsheetml/2006/main">
  <x:sheets>
    <x:sheet xmlns:r="http://schemas.openxmlformats.org/officeDocument/2006/relationships" name="获奖记录" sheetId="1" r:id="R15b7d4c8410e401b"/>
    <x:sheet xmlns:r="http://schemas.openxmlformats.org/officeDocument/2006/relationships" name="口径与来源" sheetId="4" r:id="R43c84cdb5b764740"/>
    <x:sheet xmlns:r="http://schemas.openxmlformats.org/officeDocument/2006/relationships" name="中国选手明细" sheetId="5" r:id="Re6edcdd595914745"/>
    <x:sheet xmlns:r="http://schemas.openxmlformats.org/officeDocument/2006/relationships" name="姓名对照" sheetId="6" r:id="Re0dad55e451d4e4a"/>
    <x:sheet xmlns:r="http://schemas.openxmlformats.org/officeDocument/2006/relationships" name="个人奖牌榜" sheetId="7" r:id="R83f507e60675448f"/>
    <x:sheet xmlns:r="http://schemas.openxmlformats.org/officeDocument/2006/relationships" name="个人奖牌榜_中文推测" sheetId="8" r:id="R4e9965ac29bf4637"/>
    <x:sheet xmlns:r="http://schemas.openxmlformats.org/officeDocument/2006/relationships" name="中国奖牌折算" sheetId="9" r:id="R8ffd1726e97542aa"/>
    <x:sheet xmlns:r="http://schemas.openxmlformats.org/officeDocument/2006/relationships" name="中文姓名推断依据" sheetId="11" r:id="R24c698b3db7d4978"/>
    <x:sheet xmlns:r="http://schemas.openxmlformats.org/officeDocument/2006/relationships" name="WBF比赛清单逐项排查" sheetId="12" r:id="R88ed2cc0ea7b407a"/>
    <x:sheet xmlns:r="http://schemas.openxmlformats.org/officeDocument/2006/relationships" name="放宽口径候选记录" sheetId="13" r:id="R3866b6fe0cbc4027"/>
    <x:sheet xmlns:r="http://schemas.openxmlformats.org/officeDocument/2006/relationships" name="放宽口径奖牌汇总" sheetId="14" r:id="Rca0035ec3407477d"/>
    <x:sheet xmlns:r="http://schemas.openxmlformats.org/officeDocument/2006/relationships" name="官方奖牌表对齐" sheetId="16" r:id="R81a401e402224da1"/>
    <x:sheet xmlns:r="http://schemas.openxmlformats.org/officeDocument/2006/relationships" name="WBF个人履历反查" sheetId="17" r:id="Rd57131aa258546c9"/>
    <x:sheet xmlns:r="http://schemas.openxmlformats.org/officeDocument/2006/relationships" name="公报时间断点对账" sheetId="18" r:id="R5f7dad5be3174fbf"/>
    <x:sheet xmlns:r="http://schemas.openxmlformats.org/officeDocument/2006/relationships" name="修订赛事归属推断" sheetId="19" r:id="Rec32048364b84da6"/>
    <x:sheet xmlns:r="http://schemas.openxmlformats.org/officeDocument/2006/relationships" name="全球累计表差分" sheetId="20" r:id="R79304993c2154eb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20">
    <x:font>
      <x:sz val="11"/>
      <x:name val="Carlito"/>
    </x:font>
    <x:font>
      <x:b/>
      <x:sz val="18"/>
      <x:color rgb="FFFFFFFF"/>
      <x:name val="Carlito"/>
    </x:font>
    <x:font>
      <x:i/>
      <x:sz val="10"/>
      <x:color rgb="FF16324F"/>
      <x:name val="Carlito"/>
    </x:font>
    <x:font>
      <x:b/>
      <x:sz val="11"/>
      <x:color rgb="FFFFFFFF"/>
      <x:name val="Carlito"/>
    </x:font>
    <x:font>
      <x:b/>
      <x:sz val="9"/>
      <x:color rgb="FFFFFFFF"/>
      <x:name val="Carlito"/>
    </x:font>
    <x:font>
      <x:sz val="9"/>
      <x:name val="Carlito"/>
    </x:font>
    <x:font>
      <x:b/>
      <x:sz val="10"/>
      <x:color rgb="FFFFFFFF"/>
      <x:name val="Carlito"/>
    </x:font>
    <x:font>
      <x:sz val="10"/>
      <x:name val="Carlito"/>
    </x:font>
    <x:font>
      <x:b/>
      <x:sz val="11"/>
      <x:color rgb="FF215E21"/>
      <x:name val="Carlito"/>
    </x:font>
    <x:font>
      <x:b/>
      <x:sz val="9"/>
      <x:color rgb="FF006100"/>
      <x:name val="Carlito"/>
    </x:font>
    <x:font>
      <x:b/>
      <x:sz val="9"/>
      <x:color rgb="FF9C6500"/>
      <x:name val="Carlito"/>
    </x:font>
    <x:font>
      <x:b/>
      <x:sz val="9"/>
      <x:color rgb="FF9C0006"/>
      <x:name val="Carlito"/>
    </x:font>
    <x:font>
      <x:b/>
      <x:sz val="9"/>
      <x:color rgb="FF666666"/>
      <x:name val="Carlito"/>
    </x:font>
    <x:font>
      <x:sz val="9"/>
      <x:color rgb="FF9C0006"/>
      <x:name val="Carlito"/>
    </x:font>
    <x:font>
      <x:i/>
      <x:sz val="9"/>
      <x:color rgb="FF666666"/>
      <x:name val="Carlito"/>
    </x:font>
    <x:font>
      <x:b/>
      <x:sz val="9"/>
      <x:color rgb="FF215E21"/>
      <x:name val="Carlito"/>
    </x:font>
    <x:font>
      <x:sz val="9"/>
      <x:color rgb="FF9C0006"/>
      <x:name val="Carlito"/>
    </x:font>
    <x:font>
      <x:sz val="9"/>
      <x:color rgb="FF666666"/>
      <x:name val="Carlito"/>
    </x:font>
    <x:font>
      <x:b/>
      <x:sz val="9"/>
      <x:color rgb="FF7F6000"/>
      <x:name val="Carlito"/>
    </x:font>
    <x:font>
      <x:b/>
      <x:sz val="9"/>
      <x:color rgb="FF1F4E78"/>
      <x:name val="Carlito"/>
    </x:font>
  </x:fonts>
  <x:fills count="29">
    <x:fill>
      <x:patternFill patternType="none"/>
    </x:fill>
    <x:fill>
      <x:patternFill patternType="gray125"/>
    </x:fill>
    <x:fill>
      <x:patternFill patternType="solid">
        <x:fgColor rgb="FF16324F"/>
      </x:patternFill>
    </x:fill>
    <x:fill>
      <x:patternFill patternType="solid">
        <x:fgColor rgb="FFDCEAF5"/>
      </x:patternFill>
    </x:fill>
    <x:fill>
      <x:patternFill patternType="solid">
        <x:fgColor rgb="FF1F4E78"/>
      </x:patternFill>
    </x:fill>
    <x:fill>
      <x:patternFill patternType="solid">
        <x:fgColor rgb="FFF7FAFC"/>
      </x:patternFill>
    </x:fill>
    <x:fill>
      <x:patternFill patternType="solid">
        <x:fgColor rgb="FFE2F0D9"/>
      </x:patternFill>
    </x:fill>
    <x:fill>
      <x:patternFill patternType="solid">
        <x:fgColor rgb="FFDCEAF5"/>
      </x:patternFill>
    </x:fill>
    <x:fill>
      <x:patternFill patternType="solid">
        <x:fgColor rgb="FFF7FAFC"/>
      </x:patternFill>
    </x:fill>
    <x:fill>
      <x:patternFill patternType="solid">
        <x:fgColor rgb="FF16324F"/>
      </x:patternFill>
    </x:fill>
    <x:fill>
      <x:patternFill patternType="solid">
        <x:fgColor rgb="FF1F4E78"/>
      </x:patternFill>
    </x:fill>
    <x:fill>
      <x:patternFill patternType="solid">
        <x:fgColor rgb="FFC6EFCE"/>
      </x:patternFill>
    </x:fill>
    <x:fill>
      <x:patternFill patternType="solid">
        <x:fgColor rgb="FFFFEB9C"/>
      </x:patternFill>
    </x:fill>
    <x:fill>
      <x:patternFill patternType="solid">
        <x:fgColor rgb="FFFCE4D6"/>
      </x:patternFill>
    </x:fill>
    <x:fill>
      <x:patternFill patternType="solid">
        <x:fgColor rgb="FFE7E6E6"/>
      </x:patternFill>
    </x:fill>
    <x:fill>
      <x:patternFill patternType="solid">
        <x:fgColor rgb="FFE2F0D9"/>
      </x:patternFill>
    </x:fill>
    <x:fill>
      <x:patternFill patternType="solid">
        <x:fgColor rgb="FF16324F"/>
      </x:patternFill>
    </x:fill>
    <x:fill>
      <x:patternFill patternType="solid">
        <x:fgColor rgb="FFDCEAF5"/>
      </x:patternFill>
    </x:fill>
    <x:fill>
      <x:patternFill patternType="solid">
        <x:fgColor rgb="FF1F4E78"/>
      </x:patternFill>
    </x:fill>
    <x:fill>
      <x:patternFill patternType="solid">
        <x:fgColor rgb="FFF7FAFC"/>
      </x:patternFill>
    </x:fill>
    <x:fill>
      <x:patternFill patternType="solid">
        <x:fgColor rgb="FFE2F0D9"/>
      </x:patternFill>
    </x:fill>
    <x:fill>
      <x:patternFill patternType="solid">
        <x:fgColor rgb="FF16324F"/>
      </x:patternFill>
    </x:fill>
    <x:fill>
      <x:patternFill patternType="solid">
        <x:fgColor rgb="FFDCEAF5"/>
      </x:patternFill>
    </x:fill>
    <x:fill>
      <x:patternFill patternType="solid">
        <x:fgColor rgb="FF1F4E78"/>
      </x:patternFill>
    </x:fill>
    <x:fill>
      <x:patternFill patternType="solid">
        <x:fgColor rgb="FFF7FAFC"/>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D9EAF7"/>
      </x:patternFill>
    </x:fill>
  </x:fills>
  <x:borders count="11">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
      <x:left style="thin">
        <x:color rgb="FF70AD47"/>
      </x:left>
      <x:top style="thin">
        <x:color rgb="FF70AD47"/>
      </x:top>
      <x:bottom style="thin">
        <x:color rgb="FF70AD47"/>
      </x:bottom>
    </x:border>
    <x:border>
      <x:top style="thin">
        <x:color rgb="FF70AD47"/>
      </x:top>
      <x:bottom style="thin">
        <x:color rgb="FF70AD47"/>
      </x:bottom>
    </x:border>
    <x:border>
      <x:right style="thin">
        <x:color rgb="FF70AD47"/>
      </x:right>
      <x:top style="thin">
        <x:color rgb="FF70AD47"/>
      </x:top>
      <x:bottom style="thin">
        <x:color rgb="FF70AD47"/>
      </x:bottom>
    </x:border>
    <x:border>
      <x:left style="thin">
        <x:color rgb="FFA9D08E"/>
      </x:left>
      <x:right style="thin">
        <x:color rgb="FFA9D08E"/>
      </x:right>
      <x:top style="thin">
        <x:color rgb="FFA9D08E"/>
      </x:top>
      <x:bottom style="thin">
        <x:color rgb="FFA9D08E"/>
      </x:bottom>
    </x:border>
    <x:border>
      <x:left style="thin">
        <x:color rgb="FFF4B183"/>
      </x:left>
      <x:right style="thin">
        <x:color rgb="FFF4B183"/>
      </x:right>
      <x:top style="thin">
        <x:color rgb="FFF4B183"/>
      </x:top>
      <x:bottom style="thin">
        <x:color rgb="FFF4B183"/>
      </x:bottom>
    </x:border>
    <x:border>
      <x:left style="thin">
        <x:color rgb="FFFFD966"/>
      </x:left>
      <x:right style="thin">
        <x:color rgb="FFFFD966"/>
      </x:right>
      <x:top style="thin">
        <x:color rgb="FFFFD966"/>
      </x:top>
      <x:bottom style="thin">
        <x:color rgb="FFFFD966"/>
      </x:bottom>
    </x:border>
    <x:border>
      <x:left style="thin">
        <x:color rgb="FF70AD47"/>
      </x:left>
      <x:right style="thin">
        <x:color rgb="FF70AD47"/>
      </x:right>
      <x:top style="thin">
        <x:color rgb="FF70AD47"/>
      </x:top>
      <x:bottom style="thin">
        <x:color rgb="FF70AD47"/>
      </x:bottom>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0" fontId="5" fillId="0" borderId="2" xfId="0" applyNumberFormat="1" applyFont="1" applyFill="1" applyBorder="1" applyAlignment="1">
      <x:alignment vertical="top" wrapText="1"/>
    </x:xf>
    <x:xf numFmtId="0" fontId="5" fillId="0" borderId="2" xfId="0" applyNumberFormat="1" applyFont="1" applyFill="1" applyBorder="1" applyAlignment="1">
      <x:alignment horizontal="center" vertical="top" wrapText="1"/>
    </x:xf>
    <x:xf numFmtId="0" fontId="5" fillId="5" borderId="2" xfId="0" applyNumberFormat="1" applyFont="1" applyFill="1" applyBorder="1" applyAlignment="1">
      <x:alignment vertical="top" wrapText="1"/>
    </x:xf>
    <x:xf numFmtId="0" fontId="5" fillId="5" borderId="2" xfId="0" applyNumberFormat="1" applyFont="1" applyFill="1" applyBorder="1" applyAlignment="1">
      <x:alignment horizontal="center" vertical="top" wrapText="1"/>
    </x:xf>
    <x:xf numFmtId="0" fontId="6" fillId="4" borderId="1" xfId="0" applyNumberFormat="1" applyFont="1" applyFill="1" applyBorder="1" applyAlignment="1">
      <x:alignment vertical="center" wrapText="1"/>
    </x:xf>
    <x:xf numFmtId="0" fontId="7" fillId="0" borderId="2" xfId="0" applyNumberFormat="1" applyFont="1" applyFill="1" applyBorder="1" applyAlignment="1">
      <x:alignment vertical="top" wrapText="1"/>
    </x:xf>
    <x:xf numFmtId="0" fontId="0" fillId="6" borderId="0" xfId="0" applyNumberFormat="1" applyFont="1" applyFill="1" applyBorder="1"/>
    <x:xf numFmtId="0" fontId="8" fillId="6" borderId="0" xfId="0" applyNumberFormat="1" applyFont="1" applyFill="1" applyBorder="1"/>
    <x:xf numFmtId="0" fontId="8" fillId="6" borderId="3" xfId="0" applyNumberFormat="1" applyFont="1" applyFill="1" applyBorder="1"/>
    <x:xf numFmtId="0" fontId="8" fillId="6" borderId="4" xfId="0" applyNumberFormat="1" applyFont="1" applyFill="1" applyBorder="1"/>
    <x:xf numFmtId="0" fontId="8" fillId="6" borderId="5" xfId="0" applyNumberFormat="1" applyFont="1" applyFill="1" applyBorder="1"/>
    <x:xf numFmtId="0" fontId="8" fillId="6" borderId="3" xfId="0" applyNumberFormat="1" applyFont="1" applyFill="1" applyBorder="1" applyAlignment="1">
      <x:alignment wrapText="1"/>
    </x:xf>
    <x:xf numFmtId="0" fontId="8" fillId="6" borderId="4" xfId="0" applyNumberFormat="1" applyFont="1" applyFill="1" applyBorder="1" applyAlignment="1">
      <x:alignment wrapText="1"/>
    </x:xf>
    <x:xf numFmtId="0" fontId="8" fillId="6" borderId="5" xfId="0" applyNumberFormat="1" applyFont="1" applyFill="1" applyBorder="1" applyAlignment="1">
      <x:alignment wrapText="1"/>
    </x:xf>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8" borderId="2" xfId="0" applyNumberFormat="1" applyFont="1" applyFill="1" applyBorder="1" applyAlignment="1">
      <x:alignment vertical="top" wrapText="1"/>
    </x:xf>
    <x:xf numFmtId="0" fontId="5" fillId="8" borderId="2" xfId="0" applyNumberFormat="1" applyFont="1" applyFill="1" applyBorder="1" applyAlignment="1">
      <x:alignment horizontal="center"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4" fillId="10" borderId="1" xfId="0" applyNumberFormat="1" applyFont="1" applyFill="1" applyBorder="1"/>
    <x:xf numFmtId="0" fontId="4" fillId="10" borderId="1" xfId="0" applyNumberFormat="1" applyFont="1" applyFill="1" applyBorder="1" applyAlignment="1">
      <x:alignment wrapText="1"/>
    </x:xf>
    <x:xf numFmtId="0" fontId="4" fillId="10" borderId="1" xfId="0" applyNumberFormat="1" applyFont="1" applyFill="1" applyBorder="1" applyAlignment="1">
      <x:alignment vertical="center"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horizontal="center"/>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horizontal="center"/>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horizontal="center"/>
    </x:xf>
    <x:xf numFmtId="0" fontId="5" fillId="11" borderId="2" xfId="0" applyNumberFormat="1" applyFont="1" applyFill="1" applyBorder="1" applyAlignment="1">
      <x:alignment horizontal="center" vertical="top" wrapText="1"/>
    </x:xf>
    <x:xf numFmtId="0" fontId="9" fillId="11" borderId="2" xfId="0" applyNumberFormat="1" applyFont="1" applyFill="1" applyBorder="1" applyAlignment="1">
      <x:alignment horizontal="center" vertical="top" wrapText="1"/>
    </x:xf>
    <x:xf numFmtId="0" fontId="9" fillId="11" borderId="6" xfId="0" applyNumberFormat="1" applyFont="1" applyFill="1" applyBorder="1" applyAlignment="1">
      <x:alignment horizontal="center" vertical="top" wrapText="1"/>
    </x:xf>
    <x:xf numFmtId="0" fontId="5" fillId="13" borderId="2" xfId="0" applyNumberFormat="1" applyFont="1" applyFill="1" applyBorder="1" applyAlignment="1">
      <x:alignment horizontal="center" vertical="top" wrapText="1"/>
    </x:xf>
    <x:xf numFmtId="0" fontId="13" fillId="13" borderId="2" xfId="0" applyNumberFormat="1" applyFont="1" applyFill="1" applyBorder="1" applyAlignment="1">
      <x:alignment horizontal="center" vertical="top" wrapText="1"/>
    </x:xf>
    <x:xf numFmtId="0" fontId="13" fillId="13" borderId="7" xfId="0" applyNumberFormat="1" applyFont="1" applyFill="1" applyBorder="1" applyAlignment="1">
      <x:alignment horizontal="center" vertical="top" wrapText="1"/>
    </x:xf>
    <x:xf numFmtId="0" fontId="5" fillId="12" borderId="2" xfId="0" applyNumberFormat="1" applyFont="1" applyFill="1" applyBorder="1" applyAlignment="1">
      <x:alignment horizontal="center" vertical="top" wrapText="1"/>
    </x:xf>
    <x:xf numFmtId="0" fontId="10" fillId="12" borderId="2" xfId="0" applyNumberFormat="1" applyFont="1" applyFill="1" applyBorder="1" applyAlignment="1">
      <x:alignment horizontal="center" vertical="top" wrapText="1"/>
    </x:xf>
    <x:xf numFmtId="0" fontId="10" fillId="12" borderId="8" xfId="0" applyNumberFormat="1" applyFont="1" applyFill="1" applyBorder="1" applyAlignment="1">
      <x:alignment horizontal="center" vertical="top" wrapText="1"/>
    </x:xf>
    <x:xf numFmtId="0" fontId="5" fillId="14" borderId="2" xfId="0" applyNumberFormat="1" applyFont="1" applyFill="1" applyBorder="1" applyAlignment="1">
      <x:alignment horizontal="center" vertical="top" wrapText="1"/>
    </x:xf>
    <x:xf numFmtId="0" fontId="14" fillId="14" borderId="2" xfId="0" applyNumberFormat="1" applyFont="1" applyFill="1" applyBorder="1" applyAlignment="1">
      <x:alignment horizontal="center" vertical="top" wrapText="1"/>
    </x:xf>
    <x:xf numFmtId="0" fontId="5" fillId="15" borderId="2" xfId="0" applyNumberFormat="1" applyFont="1" applyFill="1" applyBorder="1" applyAlignment="1">
      <x:alignment vertical="top" wrapText="1"/>
    </x:xf>
    <x:xf numFmtId="0" fontId="15" fillId="15" borderId="2" xfId="0" applyNumberFormat="1" applyFont="1" applyFill="1" applyBorder="1" applyAlignment="1">
      <x:alignment vertical="top" wrapText="1"/>
    </x:xf>
    <x:xf numFmtId="0" fontId="15" fillId="15" borderId="9" xfId="0" applyNumberFormat="1" applyFont="1" applyFill="1" applyBorder="1" applyAlignment="1">
      <x:alignment vertical="top" wrapText="1"/>
    </x:xf>
    <x:xf numFmtId="200" fontId="5" fillId="0" borderId="2" xfId="0" applyNumberFormat="1" applyFont="1" applyFill="1" applyBorder="1" applyAlignment="1">
      <x:alignment vertical="top" wrapText="1"/>
    </x:xf>
    <x:xf numFmtId="200" fontId="15" fillId="15" borderId="9" xfId="0" applyNumberFormat="1" applyFont="1" applyFill="1" applyBorder="1" applyAlignment="1">
      <x:alignment vertical="top" wrapText="1"/>
    </x:xf>
    <x:xf numFmtId="200" fontId="5" fillId="0" borderId="2" xfId="0" applyNumberFormat="1" applyFont="1" applyFill="1" applyBorder="1" applyAlignment="1">
      <x:alignment horizontal="center" vertical="top" wrapText="1"/>
    </x:xf>
    <x:xf numFmtId="200" fontId="5" fillId="8" borderId="2" xfId="0" applyNumberFormat="1" applyFont="1" applyFill="1" applyBorder="1" applyAlignment="1">
      <x:alignment horizontal="center" vertical="top" wrapText="1"/>
    </x:xf>
    <x:xf numFmtId="0" fontId="16" fillId="13" borderId="2" xfId="0" applyNumberFormat="1" applyFont="1" applyFill="1" applyBorder="1" applyAlignment="1">
      <x:alignment horizontal="center" vertical="top" wrapText="1"/>
    </x:xf>
    <x:xf numFmtId="0" fontId="16" fillId="13" borderId="7" xfId="0" applyNumberFormat="1" applyFont="1" applyFill="1" applyBorder="1" applyAlignment="1">
      <x:alignment horizontal="center" vertical="top" wrapText="1"/>
    </x:xf>
    <x:xf numFmtId="0" fontId="17" fillId="14" borderId="2" xfId="0" applyNumberFormat="1" applyFont="1" applyFill="1" applyBorder="1" applyAlignment="1">
      <x:alignment horizontal="center" vertical="top" wrapText="1"/>
    </x:xf>
    <x:xf numFmtId="0" fontId="17" fillId="14" borderId="10" xfId="0" applyNumberFormat="1" applyFont="1" applyFill="1" applyBorder="1" applyAlignment="1">
      <x:alignment horizontal="center"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vertical="center"/>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vertical="center" wrapText="1"/>
    </x:xf>
    <x:xf numFmtId="0" fontId="0" fillId="18" borderId="0" xfId="0" applyNumberFormat="1" applyFont="1" applyFill="1" applyBorder="1"/>
    <x:xf numFmtId="0" fontId="4" fillId="18" borderId="0" xfId="0" applyNumberFormat="1" applyFont="1" applyFill="1" applyBorder="1"/>
    <x:xf numFmtId="0" fontId="4" fillId="18" borderId="1" xfId="0" applyNumberFormat="1" applyFont="1" applyFill="1" applyBorder="1"/>
    <x:xf numFmtId="0" fontId="4" fillId="18" borderId="1" xfId="0" applyNumberFormat="1" applyFont="1" applyFill="1" applyBorder="1" applyAlignment="1">
      <x:alignment wrapText="1"/>
    </x:xf>
    <x:xf numFmtId="0" fontId="4" fillId="18" borderId="1" xfId="0" applyNumberFormat="1" applyFont="1" applyFill="1" applyBorder="1" applyAlignment="1">
      <x:alignment vertical="center" wrapText="1"/>
    </x:xf>
    <x:xf numFmtId="0" fontId="5" fillId="19" borderId="2" xfId="0" applyNumberFormat="1" applyFont="1" applyFill="1" applyBorder="1" applyAlignment="1">
      <x:alignment vertical="top" wrapText="1"/>
    </x:xf>
    <x:xf numFmtId="0" fontId="5" fillId="20" borderId="2" xfId="0" applyNumberFormat="1" applyFont="1" applyFill="1" applyBorder="1" applyAlignment="1">
      <x:alignment vertical="top" wrapText="1"/>
    </x:xf>
    <x:xf numFmtId="0" fontId="15" fillId="20" borderId="2" xfId="0" applyNumberFormat="1" applyFont="1" applyFill="1" applyBorder="1" applyAlignment="1">
      <x:alignment vertical="top" wrapText="1"/>
    </x:xf>
    <x:xf numFmtId="0" fontId="15" fillId="20" borderId="9" xfId="0" applyNumberFormat="1" applyFont="1" applyFill="1" applyBorder="1" applyAlignment="1">
      <x:alignment vertical="top" wrapText="1"/>
    </x:xf>
    <x:xf numFmtId="200" fontId="5" fillId="19" borderId="2" xfId="0" applyNumberFormat="1" applyFont="1" applyFill="1" applyBorder="1" applyAlignment="1">
      <x:alignment vertical="top" wrapText="1"/>
    </x:xf>
    <x:xf numFmtId="200" fontId="5" fillId="20" borderId="2" xfId="0" applyNumberFormat="1" applyFont="1" applyFill="1" applyBorder="1" applyAlignment="1">
      <x:alignment vertical="top" wrapText="1"/>
    </x:xf>
    <x:xf numFmtId="200" fontId="15" fillId="20" borderId="2" xfId="0" applyNumberFormat="1" applyFont="1" applyFill="1" applyBorder="1" applyAlignment="1">
      <x:alignment vertical="top" wrapText="1"/>
    </x:xf>
    <x:xf numFmtId="200" fontId="15" fillId="20" borderId="9" xfId="0" applyNumberFormat="1" applyFont="1" applyFill="1" applyBorder="1" applyAlignment="1">
      <x:alignment vertical="top"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vertical="center"/>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vertical="center" wrapText="1"/>
    </x:xf>
    <x:xf numFmtId="0" fontId="0" fillId="23" borderId="0" xfId="0" applyNumberFormat="1" applyFont="1" applyFill="1" applyBorder="1"/>
    <x:xf numFmtId="0" fontId="4" fillId="23" borderId="0" xfId="0" applyNumberFormat="1" applyFont="1" applyFill="1" applyBorder="1"/>
    <x:xf numFmtId="0" fontId="4" fillId="23" borderId="1" xfId="0" applyNumberFormat="1" applyFont="1" applyFill="1" applyBorder="1"/>
    <x:xf numFmtId="0" fontId="4" fillId="23" borderId="1" xfId="0" applyNumberFormat="1" applyFont="1" applyFill="1" applyBorder="1" applyAlignment="1">
      <x:alignment wrapText="1"/>
    </x:xf>
    <x:xf numFmtId="0" fontId="4" fillId="23" borderId="1" xfId="0" applyNumberFormat="1" applyFont="1" applyFill="1" applyBorder="1" applyAlignment="1">
      <x:alignment vertical="center" wrapText="1"/>
    </x:xf>
    <x:xf numFmtId="0" fontId="5" fillId="24" borderId="2" xfId="0" applyNumberFormat="1" applyFont="1" applyFill="1" applyBorder="1" applyAlignment="1">
      <x:alignment vertical="top" wrapText="1"/>
    </x:xf>
    <x:xf numFmtId="201" fontId="5" fillId="0" borderId="2" xfId="0" applyNumberFormat="1" applyFont="1" applyFill="1" applyBorder="1" applyAlignment="1">
      <x:alignment vertical="top" wrapText="1"/>
    </x:xf>
    <x:xf numFmtId="201" fontId="5" fillId="24" borderId="2" xfId="0" applyNumberFormat="1" applyFont="1" applyFill="1" applyBorder="1" applyAlignment="1">
      <x:alignment vertical="top" wrapText="1"/>
    </x:xf>
    <x:xf numFmtId="0" fontId="5" fillId="25" borderId="2" xfId="0" applyNumberFormat="1" applyFont="1" applyFill="1" applyBorder="1" applyAlignment="1">
      <x:alignment vertical="top" wrapText="1"/>
    </x:xf>
    <x:xf numFmtId="201" fontId="5" fillId="25" borderId="2" xfId="0" applyNumberFormat="1" applyFont="1" applyFill="1" applyBorder="1" applyAlignment="1">
      <x:alignment vertical="top" wrapText="1"/>
    </x:xf>
    <x:xf numFmtId="0" fontId="15" fillId="25" borderId="2" xfId="0" applyNumberFormat="1" applyFont="1" applyFill="1" applyBorder="1" applyAlignment="1">
      <x:alignment vertical="top" wrapText="1"/>
    </x:xf>
    <x:xf numFmtId="201" fontId="15" fillId="25" borderId="2" xfId="0" applyNumberFormat="1" applyFont="1" applyFill="1" applyBorder="1" applyAlignment="1">
      <x:alignment vertical="top" wrapText="1"/>
    </x:xf>
    <x:xf numFmtId="0" fontId="15" fillId="25" borderId="1" xfId="0" applyNumberFormat="1" applyFont="1" applyFill="1" applyBorder="1" applyAlignment="1">
      <x:alignment vertical="top" wrapText="1"/>
    </x:xf>
    <x:xf numFmtId="201" fontId="15" fillId="25" borderId="1" xfId="0" applyNumberFormat="1" applyFont="1" applyFill="1" applyBorder="1" applyAlignment="1">
      <x:alignment vertical="top" wrapText="1"/>
    </x:xf>
    <x:xf numFmtId="0" fontId="5" fillId="26" borderId="2" xfId="0" applyNumberFormat="1" applyFont="1" applyFill="1" applyBorder="1" applyAlignment="1">
      <x:alignment vertical="top" wrapText="1"/>
    </x:xf>
    <x:xf numFmtId="201" fontId="5" fillId="26" borderId="2" xfId="0" applyNumberFormat="1" applyFont="1" applyFill="1" applyBorder="1" applyAlignment="1">
      <x:alignment vertical="top" wrapText="1"/>
    </x:xf>
    <x:xf numFmtId="0" fontId="18" fillId="26" borderId="2" xfId="0" applyNumberFormat="1" applyFont="1" applyFill="1" applyBorder="1" applyAlignment="1">
      <x:alignment vertical="top" wrapText="1"/>
    </x:xf>
    <x:xf numFmtId="201" fontId="18" fillId="26" borderId="2" xfId="0" applyNumberFormat="1" applyFont="1" applyFill="1" applyBorder="1" applyAlignment="1">
      <x:alignment vertical="top" wrapText="1"/>
    </x:xf>
    <x:xf numFmtId="0" fontId="18" fillId="26" borderId="1" xfId="0" applyNumberFormat="1" applyFont="1" applyFill="1" applyBorder="1" applyAlignment="1">
      <x:alignment vertical="top" wrapText="1"/>
    </x:xf>
    <x:xf numFmtId="201" fontId="18" fillId="26" borderId="1" xfId="0" applyNumberFormat="1" applyFont="1" applyFill="1" applyBorder="1" applyAlignment="1">
      <x:alignment vertical="top" wrapText="1"/>
    </x:xf>
    <x:xf numFmtId="0" fontId="5" fillId="27" borderId="2" xfId="0" applyNumberFormat="1" applyFont="1" applyFill="1" applyBorder="1" applyAlignment="1">
      <x:alignment vertical="top" wrapText="1"/>
    </x:xf>
    <x:xf numFmtId="201" fontId="5" fillId="27" borderId="2" xfId="0" applyNumberFormat="1" applyFont="1" applyFill="1" applyBorder="1" applyAlignment="1">
      <x:alignment vertical="top" wrapText="1"/>
    </x:xf>
    <x:xf numFmtId="0" fontId="11" fillId="27" borderId="2" xfId="0" applyNumberFormat="1" applyFont="1" applyFill="1" applyBorder="1" applyAlignment="1">
      <x:alignment vertical="top" wrapText="1"/>
    </x:xf>
    <x:xf numFmtId="201" fontId="11" fillId="27" borderId="2" xfId="0" applyNumberFormat="1" applyFont="1" applyFill="1" applyBorder="1" applyAlignment="1">
      <x:alignment vertical="top" wrapText="1"/>
    </x:xf>
    <x:xf numFmtId="0" fontId="11" fillId="27" borderId="1" xfId="0" applyNumberFormat="1" applyFont="1" applyFill="1" applyBorder="1" applyAlignment="1">
      <x:alignment vertical="top" wrapText="1"/>
    </x:xf>
    <x:xf numFmtId="201" fontId="11" fillId="27" borderId="1" xfId="0" applyNumberFormat="1" applyFont="1" applyFill="1" applyBorder="1" applyAlignment="1">
      <x:alignment vertical="top" wrapText="1"/>
    </x:xf>
    <x:xf numFmtId="0" fontId="5" fillId="28" borderId="2" xfId="0" applyNumberFormat="1" applyFont="1" applyFill="1" applyBorder="1" applyAlignment="1">
      <x:alignment vertical="top" wrapText="1"/>
    </x:xf>
    <x:xf numFmtId="0" fontId="19" fillId="28" borderId="2" xfId="0" applyNumberFormat="1" applyFont="1" applyFill="1" applyBorder="1" applyAlignment="1">
      <x:alignment vertical="top" wrapText="1"/>
    </x:xf>
    <x:xf numFmtId="0" fontId="19" fillId="28"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0633a51a784aad" /><Relationship Type="http://schemas.openxmlformats.org/officeDocument/2006/relationships/theme" Target="/xl/theme/theme1.xml" Id="R2e130d876a354803" /><Relationship Type="http://schemas.openxmlformats.org/officeDocument/2006/relationships/sharedStrings" Target="/xl/sharedStrings.xml" Id="Rd0be45515e964bb6" /><Relationship Type="http://schemas.openxmlformats.org/officeDocument/2006/relationships/worksheet" Target="/xl/worksheets/sheet1.xml" Id="R15b7d4c8410e401b" /><Relationship Type="http://schemas.openxmlformats.org/officeDocument/2006/relationships/worksheet" Target="/xl/worksheets/sheet2.xml" Id="R43c84cdb5b764740" /><Relationship Type="http://schemas.openxmlformats.org/officeDocument/2006/relationships/worksheet" Target="/xl/worksheets/sheet3.xml" Id="Re6edcdd595914745" /><Relationship Type="http://schemas.openxmlformats.org/officeDocument/2006/relationships/worksheet" Target="/xl/worksheets/sheet4.xml" Id="Re0dad55e451d4e4a" /><Relationship Type="http://schemas.openxmlformats.org/officeDocument/2006/relationships/worksheet" Target="/xl/worksheets/sheet5.xml" Id="R83f507e60675448f" /><Relationship Type="http://schemas.openxmlformats.org/officeDocument/2006/relationships/worksheet" Target="/xl/worksheets/sheet6.xml" Id="R4e9965ac29bf4637" /><Relationship Type="http://schemas.openxmlformats.org/officeDocument/2006/relationships/worksheet" Target="/xl/worksheets/sheet7.xml" Id="R8ffd1726e97542aa" /><Relationship Type="http://schemas.openxmlformats.org/officeDocument/2006/relationships/worksheet" Target="/xl/worksheets/sheet8.xml" Id="R24c698b3db7d4978" /><Relationship Type="http://schemas.openxmlformats.org/officeDocument/2006/relationships/worksheet" Target="/xl/worksheets/sheet9.xml" Id="R88ed2cc0ea7b407a" /><Relationship Type="http://schemas.openxmlformats.org/officeDocument/2006/relationships/worksheet" Target="/xl/worksheets/sheet10.xml" Id="R3866b6fe0cbc4027" /><Relationship Type="http://schemas.openxmlformats.org/officeDocument/2006/relationships/worksheet" Target="/xl/worksheets/sheet11.xml" Id="Rca0035ec3407477d" /><Relationship Type="http://schemas.openxmlformats.org/officeDocument/2006/relationships/worksheet" Target="/xl/worksheets/sheet12.xml" Id="R81a401e402224da1" /><Relationship Type="http://schemas.openxmlformats.org/officeDocument/2006/relationships/worksheet" Target="/xl/worksheets/sheet13.xml" Id="Rd57131aa258546c9" /><Relationship Type="http://schemas.openxmlformats.org/officeDocument/2006/relationships/worksheet" Target="/xl/worksheets/sheet14.xml" Id="R5f7dad5be3174fbf" /><Relationship Type="http://schemas.openxmlformats.org/officeDocument/2006/relationships/worksheet" Target="/xl/worksheets/sheet15.xml" Id="Rec32048364b84da6" /><Relationship Type="http://schemas.openxmlformats.org/officeDocument/2006/relationships/worksheet" Target="/xl/worksheets/sheet16.xml" Id="R79304993c2154e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8" hidden="0" customWidth="1"/>
    <x:col min="4" max="4" width="25" hidden="0" customWidth="1"/>
    <x:col min="5" max="5" width="30" hidden="0" customWidth="1"/>
    <x:col min="6" max="6" width="7" hidden="0" customWidth="1"/>
    <x:col min="7" max="7" width="8" hidden="0" customWidth="1"/>
    <x:col min="8" max="8" width="25" hidden="0" customWidth="1"/>
    <x:col min="9" max="9" width="40" hidden="0" customWidth="1"/>
    <x:col min="10" max="10" width="62" hidden="0" customWidth="1"/>
    <x:col min="11" max="11" width="32" hidden="0" customWidth="1"/>
    <x:col min="12" max="12" width="52" hidden="0" customWidth="1"/>
    <x:col min="13" max="13" width="11" hidden="0" customWidth="1"/>
    <x:col min="14" max="14" width="10" hidden="0" customWidth="1"/>
    <x:col min="15" max="15" width="48" hidden="0" customWidth="1"/>
    <x:col min="16" max="16" width="8" hidden="0" customWidth="1"/>
  </x:cols>
  <x:sheetData>
    <x:row r="1" ht="30" customHeight="1">
      <x:c r="A1" s="3" t="str">
        <x:v>WBF正式世界锦标赛前三名中的中国（CHN）选手</x:v>
      </x:c>
      <x:c r="B1" s="3"/>
      <x:c r="C1" s="3"/>
      <x:c r="D1" s="3"/>
      <x:c r="E1" s="3"/>
      <x:c r="F1" s="3"/>
      <x:c r="G1" s="3"/>
      <x:c r="H1" s="3"/>
      <x:c r="I1" s="3"/>
      <x:c r="J1" s="3"/>
      <x:c r="K1" s="3"/>
      <x:c r="L1" s="3"/>
      <x:c r="M1" s="3"/>
      <x:c r="N1" s="3"/>
      <x:c r="O1" s="3"/>
      <x:c r="P1" s="3"/>
    </x:row>
    <x:row r="2" ht="46" customHeight="1">
      <x:c r="A2" s="31" t="str">
        <x:v>数据截止 2026-08-20；本页仅列可逐项核验的WBF成绩记录。经WBF赛事清单逐项复核，补入2008 U28团体铜牌；2023官方累计表仍有1银、5铜未逐项拆分，见“官方奖牌表对齐”。</x:v>
      </x:c>
      <x:c r="B2" s="31"/>
      <x:c r="C2" s="31"/>
      <x:c r="D2" s="31"/>
      <x:c r="E2" s="31"/>
      <x:c r="F2" s="31"/>
      <x:c r="G2" s="31"/>
      <x:c r="H2" s="31"/>
      <x:c r="I2" s="31"/>
      <x:c r="J2" s="31"/>
      <x:c r="K2" s="31"/>
      <x:c r="L2" s="31"/>
      <x:c r="M2" s="31"/>
      <x:c r="N2" s="31"/>
      <x:c r="O2" s="31"/>
      <x:c r="P2" s="31"/>
    </x:row>
    <x:row r="4">
      <x:c r="A4" s="15" t="str">
        <x:v>记录ID</x:v>
      </x:c>
      <x:c r="B4" s="15" t="str">
        <x:v>比赛时间</x:v>
      </x:c>
      <x:c r="C4" s="15" t="str">
        <x:v>地点</x:v>
      </x:c>
      <x:c r="D4" s="15" t="str">
        <x:v>比赛名称</x:v>
      </x:c>
      <x:c r="E4" s="15" t="str">
        <x:v>正式项目（含当年分类名）</x:v>
      </x:c>
      <x:c r="F4" s="15" t="str">
        <x:v>名次</x:v>
      </x:c>
      <x:c r="G4" s="15" t="str">
        <x:v>奖牌</x:v>
      </x:c>
      <x:c r="H4" s="15" t="str">
        <x:v>获奖队/组合名称</x:v>
      </x:c>
      <x:c r="I4" s="15" t="str">
        <x:v>中国选手（CHN）</x:v>
      </x:c>
      <x:c r="J4" s="15" t="str">
        <x:v>完整参赛阵容（含NBO）</x:v>
      </x:c>
      <x:c r="K4" s="15" t="str">
        <x:v>领队/教练/NPC</x:v>
      </x:c>
      <x:c r="L4" s="15" t="str">
        <x:v>WBF数据库/官方结果页</x:v>
      </x:c>
      <x:c r="M4" s="15" t="str">
        <x:v>阵容含外籍？</x:v>
      </x:c>
      <x:c r="N4" s="15" t="str">
        <x:v>中国选手人数</x:v>
      </x:c>
      <x:c r="O4" s="15" t="str">
        <x:v>资料备注</x:v>
      </x:c>
      <x:c r="P4" s="15" t="str">
        <x:v>年份</x:v>
      </x:c>
    </x:row>
    <x:row r="5">
      <x:c r="A5" s="16" t="str">
        <x:v>WBF-001</x:v>
      </x:c>
      <x:c r="B5" s="16" t="str">
        <x:v>1991</x:v>
      </x:c>
      <x:c r="C5" s="16" t="str">
        <x:v>横滨，日本</x:v>
      </x:c>
      <x:c r="D5" s="16" t="str">
        <x:v>世界桥牌团体锦标赛</x:v>
      </x:c>
      <x:c r="E5" s="16" t="str">
        <x:v>Venice Cup 女子团体</x:v>
      </x:c>
      <x:c r="F5" s="17" t="n">
        <x:v>3</x:v>
      </x:c>
      <x:c r="G5" s="17" t="str">
        <x:v>铜牌</x:v>
      </x:c>
      <x:c r="H5" s="16" t="str">
        <x:v>CHINA</x:v>
      </x:c>
      <x:c r="I5" s="16" t="str">
        <x:v>Yi Qian Liu；Yalan Zhang；Ming Sun；Ling Gu</x:v>
      </x:c>
      <x:c r="J5" s="16" t="str">
        <x:v>Yi Qian Liu [CHN]；Yalan Zhang [CHN]；Ming Sun [CHN]；Ling Gu [CHN]</x:v>
      </x:c>
      <x:c r="K5" s="16"/>
      <x:c r="L5" s="16" t="str">
        <x:v>https://www.wbfmasterpoints.com/Medalsreport.asp</x:v>
      </x:c>
      <x:c r="M5" s="17" t="str">
        <x:v>否</x:v>
      </x:c>
      <x:c r="N5" s="17" t="n">
        <x:v>4</x:v>
      </x:c>
      <x:c r="O5" s="17"/>
      <x:c r="P5" s="17" t="n">
        <x:v>1991</x:v>
      </x:c>
    </x:row>
    <x:row r="6">
      <x:c r="A6" s="35" t="str">
        <x:v>WBF-002</x:v>
      </x:c>
      <x:c r="B6" s="35" t="str">
        <x:v>1996</x:v>
      </x:c>
      <x:c r="C6" s="35" t="str">
        <x:v>罗得岛，希腊</x:v>
      </x:c>
      <x:c r="D6" s="35" t="str">
        <x:v>世界桥牌团体奥林匹克赛</x:v>
      </x:c>
      <x:c r="E6" s="35" t="str">
        <x:v>女子团体</x:v>
      </x:c>
      <x:c r="F6" s="36" t="n">
        <x:v>2</x:v>
      </x:c>
      <x:c r="G6" s="36" t="str">
        <x:v>银牌</x:v>
      </x:c>
      <x:c r="H6" s="35" t="str">
        <x:v>CHINA</x:v>
      </x:c>
      <x:c r="I6" s="35" t="str">
        <x:v>Yu Zhang；Hongli Wang；Wen Fei Wang；Ming Sun；Ling Gu；Yalan Zhang</x:v>
      </x:c>
      <x:c r="J6" s="35" t="str">
        <x:v>Yu Zhang [CHN]；Hongli Wang [CHN]；Wen Fei Wang [CHN]；Ming Sun [CHN]；Ling Gu [CHN]；Yalan Zhang [CHN]</x:v>
      </x:c>
      <x:c r="K6" s="35"/>
      <x:c r="L6" s="35" t="str">
        <x:v>https://www.wbfmasterpoints.com/Medalsreport.asp</x:v>
      </x:c>
      <x:c r="M6" s="36" t="str">
        <x:v>否</x:v>
      </x:c>
      <x:c r="N6" s="36" t="n">
        <x:v>6</x:v>
      </x:c>
      <x:c r="O6" s="36"/>
      <x:c r="P6" s="36" t="n">
        <x:v>1996</x:v>
      </x:c>
    </x:row>
    <x:row r="7">
      <x:c r="A7" s="16" t="str">
        <x:v>WBF-003</x:v>
      </x:c>
      <x:c r="B7" s="16" t="str">
        <x:v>1997</x:v>
      </x:c>
      <x:c r="C7" s="16" t="str">
        <x:v>哈马马特，突尼斯</x:v>
      </x:c>
      <x:c r="D7" s="16" t="str">
        <x:v>世界桥牌团体锦标赛</x:v>
      </x:c>
      <x:c r="E7" s="16" t="str">
        <x:v>Venice Cup 女子团体</x:v>
      </x:c>
      <x:c r="F7" s="17" t="n">
        <x:v>2</x:v>
      </x:c>
      <x:c r="G7" s="17" t="str">
        <x:v>银牌</x:v>
      </x:c>
      <x:c r="H7" s="16" t="str">
        <x:v>CHINA</x:v>
      </x:c>
      <x:c r="I7" s="16" t="str">
        <x:v>Wen Fei Wang；Yu Zhang；Yan Lu；Yalan Zhang；Ming Sun；Ling Gu</x:v>
      </x:c>
      <x:c r="J7" s="16" t="str">
        <x:v>Wen Fei Wang [CHN]；Yu Zhang [CHN]；Yan Lu [CHN]；Yalan Zhang [CHN]；Ming Sun [CHN]；Ling Gu [CHN]</x:v>
      </x:c>
      <x:c r="K7" s="16"/>
      <x:c r="L7" s="16" t="str">
        <x:v>https://www.wbfmasterpoints.com/Medalsreport.asp</x:v>
      </x:c>
      <x:c r="M7" s="17" t="str">
        <x:v>否</x:v>
      </x:c>
      <x:c r="N7" s="17" t="n">
        <x:v>6</x:v>
      </x:c>
      <x:c r="O7" s="17"/>
      <x:c r="P7" s="17" t="n">
        <x:v>1997</x:v>
      </x:c>
    </x:row>
    <x:row r="8">
      <x:c r="A8" s="35" t="str">
        <x:v>WBF-004</x:v>
      </x:c>
      <x:c r="B8" s="35" t="str">
        <x:v>2003</x:v>
      </x:c>
      <x:c r="C8" s="35" t="str">
        <x:v>蒙特卡洛，摩纳哥</x:v>
      </x:c>
      <x:c r="D8" s="35" t="str">
        <x:v>世界桥牌团体锦标赛</x:v>
      </x:c>
      <x:c r="E8" s="35" t="str">
        <x:v>Transnational Open Teams 跨国公开团体</x:v>
      </x:c>
      <x:c r="F8" s="36" t="n">
        <x:v>2</x:v>
      </x:c>
      <x:c r="G8" s="36" t="str">
        <x:v>银牌</x:v>
      </x:c>
      <x:c r="H8" s="35" t="str">
        <x:v>CHINA</x:v>
      </x:c>
      <x:c r="I8" s="35" t="str">
        <x:v>Haojun Shi；Zejun Zhuang；Zhong Fu；Weimin Wang；Jie Zhao</x:v>
      </x:c>
      <x:c r="J8" s="35" t="str">
        <x:v>Haojun Shi [CHN]；Zejun Zhuang [CHN]；Zhong Fu [CHN]；Weimin Wang [CHN]；Jie Zhao [CHN]</x:v>
      </x:c>
      <x:c r="K8" s="35"/>
      <x:c r="L8" s="35" t="str">
        <x:v>https://www.wbfmasterpoints.com/Medalsreport.asp</x:v>
      </x:c>
      <x:c r="M8" s="36" t="str">
        <x:v>否</x:v>
      </x:c>
      <x:c r="N8" s="36" t="n">
        <x:v>5</x:v>
      </x:c>
      <x:c r="O8" s="36"/>
      <x:c r="P8" s="36" t="n">
        <x:v>2003</x:v>
      </x:c>
    </x:row>
    <x:row r="9">
      <x:c r="A9" s="16" t="str">
        <x:v>WBF-005</x:v>
      </x:c>
      <x:c r="B9" s="16" t="str">
        <x:v>2003</x:v>
      </x:c>
      <x:c r="C9" s="16" t="str">
        <x:v>蒙特卡洛，摩纳哥</x:v>
      </x:c>
      <x:c r="D9" s="16" t="str">
        <x:v>世界桥牌团体锦标赛</x:v>
      </x:c>
      <x:c r="E9" s="16" t="str">
        <x:v>Venice Cup 女子团体</x:v>
      </x:c>
      <x:c r="F9" s="17" t="n">
        <x:v>2</x:v>
      </x:c>
      <x:c r="G9" s="17" t="str">
        <x:v>银牌</x:v>
      </x:c>
      <x:c r="H9" s="16" t="str">
        <x:v>CHINA</x:v>
      </x:c>
      <x:c r="I9" s="16" t="str">
        <x:v>Liping Wang；Hongli Wang；Wen Fei Wang；Yalan Zhang；Yu Zhang；Ling Gu</x:v>
      </x:c>
      <x:c r="J9" s="16" t="str">
        <x:v>Liping Wang [CHN]；Hongli Wang [CHN]；Wen Fei Wang [CHN]；Yalan Zhang [CHN]；Yu Zhang [CHN]；Ling Gu [CHN]</x:v>
      </x:c>
      <x:c r="K9" s="16"/>
      <x:c r="L9" s="16" t="str">
        <x:v>https://www.wbfmasterpoints.com/Medalsreport.asp</x:v>
      </x:c>
      <x:c r="M9" s="17" t="str">
        <x:v>否</x:v>
      </x:c>
      <x:c r="N9" s="17" t="n">
        <x:v>6</x:v>
      </x:c>
      <x:c r="O9" s="17"/>
      <x:c r="P9" s="17" t="n">
        <x:v>2003</x:v>
      </x:c>
    </x:row>
    <x:row r="10">
      <x:c r="A10" s="35" t="str">
        <x:v>WBF-006</x:v>
      </x:c>
      <x:c r="B10" s="35" t="str">
        <x:v>2004</x:v>
      </x:c>
      <x:c r="C10" s="35" t="str">
        <x:v>伊斯坦布尔，土耳其</x:v>
      </x:c>
      <x:c r="D10" s="35" t="str">
        <x:v>世界桥牌奥林匹克赛</x:v>
      </x:c>
      <x:c r="E10" s="35" t="str">
        <x:v>Transnational Mixed Teams 跨国混合团体</x:v>
      </x:c>
      <x:c r="F10" s="36" t="n">
        <x:v>3</x:v>
      </x:c>
      <x:c r="G10" s="36" t="str">
        <x:v>铜牌</x:v>
      </x:c>
      <x:c r="H10" s="35" t="str">
        <x:v>CHINA</x:v>
      </x:c>
      <x:c r="I10" s="35" t="str">
        <x:v>Qinghong Zhou；Liping Wang；Zhong Fu；Weimin Wang；Yan Lu；Ming Sun</x:v>
      </x:c>
      <x:c r="J10" s="35" t="str">
        <x:v>Qinghong Zhou [CHN]；Liping Wang [CHN]；Zhong Fu [CHN]；Weimin Wang [CHN]；Yan Lu [CHN]；Ming Sun [CHN]</x:v>
      </x:c>
      <x:c r="K10" s="35"/>
      <x:c r="L10" s="35" t="str">
        <x:v>https://www.wbfmasterpoints.com/Medalsreport.asp</x:v>
      </x:c>
      <x:c r="M10" s="36" t="str">
        <x:v>否</x:v>
      </x:c>
      <x:c r="N10" s="36" t="n">
        <x:v>6</x:v>
      </x:c>
      <x:c r="O10" s="36"/>
      <x:c r="P10" s="36" t="n">
        <x:v>2004</x:v>
      </x:c>
    </x:row>
    <x:row r="11">
      <x:c r="A11" s="16" t="str">
        <x:v>WBF-007</x:v>
      </x:c>
      <x:c r="B11" s="16" t="str">
        <x:v>2006-06</x:v>
      </x:c>
      <x:c r="C11" s="16" t="str">
        <x:v>维罗纳，意大利</x:v>
      </x:c>
      <x:c r="D11" s="16" t="str">
        <x:v>世界桥牌综合锦标赛</x:v>
      </x:c>
      <x:c r="E11" s="16" t="str">
        <x:v>Open Pairs 公开双人</x:v>
      </x:c>
      <x:c r="F11" s="17" t="n">
        <x:v>1</x:v>
      </x:c>
      <x:c r="G11" s="17" t="str">
        <x:v>金牌</x:v>
      </x:c>
      <x:c r="H11" s="16" t="str">
        <x:v>Zhong Fu – Jie Zhao</x:v>
      </x:c>
      <x:c r="I11" s="16" t="str">
        <x:v>Zhong Fu；Jie Zhao</x:v>
      </x:c>
      <x:c r="J11" s="16" t="str">
        <x:v>Zhong Fu [CHN]；Jie Zhao [CHN]</x:v>
      </x:c>
      <x:c r="K11" s="16"/>
      <x:c r="L11" s="16" t="str">
        <x:v>https://www.wbfmasterpoints.com/Medalsreport.asp</x:v>
      </x:c>
      <x:c r="M11" s="17" t="str">
        <x:v>否</x:v>
      </x:c>
      <x:c r="N11" s="17" t="n">
        <x:v>2</x:v>
      </x:c>
      <x:c r="O11" s="17"/>
      <x:c r="P11" s="17" t="n">
        <x:v>2006</x:v>
      </x:c>
    </x:row>
    <x:row r="12">
      <x:c r="A12" s="35" t="str">
        <x:v>WBF-008</x:v>
      </x:c>
      <x:c r="B12" s="35" t="str">
        <x:v>2006-06</x:v>
      </x:c>
      <x:c r="C12" s="35" t="str">
        <x:v>维罗纳，意大利</x:v>
      </x:c>
      <x:c r="D12" s="35" t="str">
        <x:v>世界桥牌综合锦标赛</x:v>
      </x:c>
      <x:c r="E12" s="35" t="str">
        <x:v>Women Pairs 女子双人</x:v>
      </x:c>
      <x:c r="F12" s="36" t="n">
        <x:v>2</x:v>
      </x:c>
      <x:c r="G12" s="36" t="str">
        <x:v>银牌</x:v>
      </x:c>
      <x:c r="H12" s="35" t="str">
        <x:v>Hongli Wang – Wen Fei Wang</x:v>
      </x:c>
      <x:c r="I12" s="35" t="str">
        <x:v>Hongli Wang；Wen Fei Wang</x:v>
      </x:c>
      <x:c r="J12" s="35" t="str">
        <x:v>Hongli Wang [CHN]；Wen Fei Wang [CHN]</x:v>
      </x:c>
      <x:c r="K12" s="35"/>
      <x:c r="L12" s="35" t="str">
        <x:v>https://www.wbfmasterpoints.com/Medalsreport.asp</x:v>
      </x:c>
      <x:c r="M12" s="36" t="str">
        <x:v>否</x:v>
      </x:c>
      <x:c r="N12" s="36" t="n">
        <x:v>2</x:v>
      </x:c>
      <x:c r="O12" s="36"/>
      <x:c r="P12" s="36" t="n">
        <x:v>2006</x:v>
      </x:c>
    </x:row>
    <x:row r="13">
      <x:c r="A13" s="16" t="str">
        <x:v>WBF-009</x:v>
      </x:c>
      <x:c r="B13" s="16" t="str">
        <x:v>2007</x:v>
      </x:c>
      <x:c r="C13" s="16" t="str">
        <x:v>上海，中国</x:v>
      </x:c>
      <x:c r="D13" s="16" t="str">
        <x:v>世界桥牌团体锦标赛</x:v>
      </x:c>
      <x:c r="E13" s="16" t="str">
        <x:v>Venice Cup 女子团体</x:v>
      </x:c>
      <x:c r="F13" s="17" t="n">
        <x:v>3</x:v>
      </x:c>
      <x:c r="G13" s="17" t="str">
        <x:v>铜牌</x:v>
      </x:c>
      <x:c r="H13" s="16" t="str">
        <x:v>CHINA</x:v>
      </x:c>
      <x:c r="I13" s="16" t="str">
        <x:v>Yalan Zhang；Ming Sun；Ling Gu；Yi Qian Liu；Hongli Wang；Wen Fei Wang</x:v>
      </x:c>
      <x:c r="J13" s="16" t="str">
        <x:v>Yalan Zhang [CHN]；Ming Sun [CHN]；Ling Gu [CHN]；Yi Qian Liu [CHN]；Hongli Wang [CHN]；Wen Fei Wang [CHN]</x:v>
      </x:c>
      <x:c r="K13" s="16"/>
      <x:c r="L13" s="16" t="str">
        <x:v>https://www.wbfmasterpoints.com/Medalsreport.asp</x:v>
      </x:c>
      <x:c r="M13" s="17" t="str">
        <x:v>否</x:v>
      </x:c>
      <x:c r="N13" s="17" t="n">
        <x:v>6</x:v>
      </x:c>
      <x:c r="O13" s="17"/>
      <x:c r="P13" s="17" t="n">
        <x:v>2007</x:v>
      </x:c>
    </x:row>
    <x:row r="14">
      <x:c r="A14" s="35" t="str">
        <x:v>WBF-010</x:v>
      </x:c>
      <x:c r="B14" s="35" t="str">
        <x:v>2008-10-03—2008-10-18</x:v>
      </x:c>
      <x:c r="C14" s="35" t="str">
        <x:v>北京，中国</x:v>
      </x:c>
      <x:c r="D14" s="35" t="str">
        <x:v>第1届世界智力运动会 / 世界桥牌运动会</x:v>
      </x:c>
      <x:c r="E14" s="35" t="str">
        <x:v>Transnational Mixed Teams 跨国混合团体</x:v>
      </x:c>
      <x:c r="F14" s="36" t="n">
        <x:v>3</x:v>
      </x:c>
      <x:c r="G14" s="36" t="str">
        <x:v>铜牌</x:v>
      </x:c>
      <x:c r="H14" s="35" t="str">
        <x:v>A-EVERTRUST HOLDING GROUP</x:v>
      </x:c>
      <x:c r="I14" s="35" t="str">
        <x:v>Rongqiang Lin；Xu Hou；Yan Huang；Ling Gan；Zhengjun Shi；Bing Du</x:v>
      </x:c>
      <x:c r="J14" s="35" t="str">
        <x:v>Rongqiang Lin [CHN]；Xu Hou [CHN]；Yan Huang [CHN]；Ling Gan [CHN]；Zhengjun Shi [CHN]；Bing Du [CHN]</x:v>
      </x:c>
      <x:c r="K14" s="35"/>
      <x:c r="L14" s="35" t="str">
        <x:v>https://db.worldbridge.org/repository/tourn/Beijing.08/Beijing.htm</x:v>
      </x:c>
      <x:c r="M14" s="36" t="str">
        <x:v>否</x:v>
      </x:c>
      <x:c r="N14" s="36" t="n">
        <x:v>6</x:v>
      </x:c>
      <x:c r="O14" s="36"/>
      <x:c r="P14" s="36" t="n">
        <x:v>2008</x:v>
      </x:c>
    </x:row>
    <x:row r="15">
      <x:c r="A15" s="16" t="str">
        <x:v>WBF-011</x:v>
      </x:c>
      <x:c r="B15" s="16" t="str">
        <x:v>2008-10-03—2008-10-18</x:v>
      </x:c>
      <x:c r="C15" s="16" t="str">
        <x:v>北京，中国</x:v>
      </x:c>
      <x:c r="D15" s="16" t="str">
        <x:v>第1届世界智力运动会 / 世界桥牌运动会</x:v>
      </x:c>
      <x:c r="E15" s="16" t="str">
        <x:v>U21 Teams 青年团体</x:v>
      </x:c>
      <x:c r="F15" s="17" t="n">
        <x:v>3</x:v>
      </x:c>
      <x:c r="G15" s="17" t="str">
        <x:v>铜牌</x:v>
      </x:c>
      <x:c r="H15" s="16" t="str">
        <x:v>CHINA</x:v>
      </x:c>
      <x:c r="I15" s="16" t="str">
        <x:v>Simin Chen；Yichao Chen；Chunhui Dong；Junjie Hu；Yujie Jiang；Qi Song</x:v>
      </x:c>
      <x:c r="J15" s="16" t="str">
        <x:v>Simin Chen [CHN]；Yichao Chen [CHN]；Chunhui Dong [CHN]；Junjie Hu [CHN]；Yujie Jiang [CHN]；Qi Song [CHN]</x:v>
      </x:c>
      <x:c r="K15" s="16" t="str">
        <x:v>NPC: Xueming Fu; Coach: Yixin Zheng</x:v>
      </x:c>
      <x:c r="L15" s="16" t="str">
        <x:v>https://db.worldbridge.org/repository/tourn/Beijing.08/Beijing.htm</x:v>
      </x:c>
      <x:c r="M15" s="17" t="str">
        <x:v>否</x:v>
      </x:c>
      <x:c r="N15" s="17" t="n">
        <x:v>6</x:v>
      </x:c>
      <x:c r="O15" s="17"/>
      <x:c r="P15" s="17" t="n">
        <x:v>2008</x:v>
      </x:c>
    </x:row>
    <x:row r="16">
      <x:c r="A16" s="35" t="str">
        <x:v>WBF-012</x:v>
      </x:c>
      <x:c r="B16" s="35" t="str">
        <x:v>2008-10-03—2008-10-18</x:v>
      </x:c>
      <x:c r="C16" s="35" t="str">
        <x:v>北京，中国</x:v>
      </x:c>
      <x:c r="D16" s="35" t="str">
        <x:v>第1届世界智力运动会 / 世界桥牌运动会</x:v>
      </x:c>
      <x:c r="E16" s="35" t="str">
        <x:v>U28 Teams 青年团体</x:v>
      </x:c>
      <x:c r="F16" s="36" t="n">
        <x:v>3</x:v>
      </x:c>
      <x:c r="G16" s="36" t="str">
        <x:v>铜牌</x:v>
      </x:c>
      <x:c r="H16" s="35" t="str">
        <x:v>CHINA</x:v>
      </x:c>
      <x:c r="I16" s="35" t="str">
        <x:v>Ming Sheng；Yizhuo Zhang；Xin Li；Jing Liu；Yinghao Liu；Zhenguo Wu</x:v>
      </x:c>
      <x:c r="J16" s="35" t="str">
        <x:v>Ming Sheng [CHN]；Yizhuo Zhang [CHN]；Xin Li [CHN]；Jing Liu [CHN]；Yinghao Liu [CHN]；Zhenguo Wu [CHN]</x:v>
      </x:c>
      <x:c r="K16" s="35" t="str">
        <x:v>NPC: Jie Liu</x:v>
      </x:c>
      <x:c r="L16" s="35" t="str">
        <x:v>https://db.worldbridge.org/repository/tourn/Beijing.08/Beijing.htm
https://db.worldbridge.org/repository/tourn/Beijing.08/Asp/knockoutphase.asp?qtournid=708&amp;qphase=PO
https://db.worldbridge.org/repository/tourn/Beijing.08/ASP/participantsDetail.asp?qteamid=5535</x:v>
      </x:c>
      <x:c r="M16" s="36" t="str">
        <x:v>否</x:v>
      </x:c>
      <x:c r="N16" s="36" t="n">
        <x:v>6</x:v>
      </x:c>
      <x:c r="O16" s="36" t="str">
        <x:v>WBF赛事正文、季军附加赛与正式阵容三方核验；旧个人履历把U26误列中国季军，已以赛事正文否定。</x:v>
      </x:c>
      <x:c r="P16" s="36" t="n">
        <x:v>2008</x:v>
      </x:c>
    </x:row>
    <x:row r="17">
      <x:c r="A17" s="16" t="str">
        <x:v>WBF-013</x:v>
      </x:c>
      <x:c r="B17" s="16" t="str">
        <x:v>2008-10-03—2008-10-18</x:v>
      </x:c>
      <x:c r="C17" s="16" t="str">
        <x:v>北京，中国</x:v>
      </x:c>
      <x:c r="D17" s="16" t="str">
        <x:v>第1届世界智力运动会 / 世界桥牌运动会</x:v>
      </x:c>
      <x:c r="E17" s="16" t="str">
        <x:v>Women Teams 女子团体</x:v>
      </x:c>
      <x:c r="F17" s="17" t="n">
        <x:v>2</x:v>
      </x:c>
      <x:c r="G17" s="17" t="str">
        <x:v>银牌</x:v>
      </x:c>
      <x:c r="H17" s="16" t="str">
        <x:v>CHINA</x:v>
      </x:c>
      <x:c r="I17" s="16" t="str">
        <x:v>Hongli Wang；Wen Fei Wang；Yi Qian Liu；Ming Sun；Ling Gu；Yalan Zhang</x:v>
      </x:c>
      <x:c r="J17" s="16" t="str">
        <x:v>Hongli Wang [CHN]；Wen Fei Wang [CHN]；Yi Qian Liu [CHN]；Ming Sun [CHN]；Ling Gu [CHN]；Yalan Zhang [CHN]</x:v>
      </x:c>
      <x:c r="K17" s="16"/>
      <x:c r="L17" s="16" t="str">
        <x:v>https://db.worldbridge.org/repository/tourn/Beijing.08/Beijing.htm</x:v>
      </x:c>
      <x:c r="M17" s="17" t="str">
        <x:v>否</x:v>
      </x:c>
      <x:c r="N17" s="17" t="n">
        <x:v>6</x:v>
      </x:c>
      <x:c r="O17" s="17"/>
      <x:c r="P17" s="17" t="n">
        <x:v>2008</x:v>
      </x:c>
    </x:row>
    <x:row r="18">
      <x:c r="A18" s="35" t="str">
        <x:v>WBF-014</x:v>
      </x:c>
      <x:c r="B18" s="35" t="str">
        <x:v>2008-10-03—2008-10-18</x:v>
      </x:c>
      <x:c r="C18" s="35" t="str">
        <x:v>北京，中国</x:v>
      </x:c>
      <x:c r="D18" s="35" t="str">
        <x:v>第1届世界智力运动会 / 世界桥牌运动会</x:v>
      </x:c>
      <x:c r="E18" s="35" t="str">
        <x:v>World Masters Individual Women 女子个人</x:v>
      </x:c>
      <x:c r="F18" s="36" t="n">
        <x:v>3</x:v>
      </x:c>
      <x:c r="G18" s="36" t="str">
        <x:v>铜牌</x:v>
      </x:c>
      <x:c r="H18" s="35" t="str">
        <x:v>个人</x:v>
      </x:c>
      <x:c r="I18" s="35" t="str">
        <x:v>Ru Yan</x:v>
      </x:c>
      <x:c r="J18" s="35" t="str">
        <x:v>Ru Yan [CHN]</x:v>
      </x:c>
      <x:c r="K18" s="35"/>
      <x:c r="L18" s="35" t="str">
        <x:v>https://db.worldbridge.org/repository/tourn/Beijing.08/Beijing.htm</x:v>
      </x:c>
      <x:c r="M18" s="36" t="str">
        <x:v>否</x:v>
      </x:c>
      <x:c r="N18" s="36" t="n">
        <x:v>1</x:v>
      </x:c>
      <x:c r="O18" s="36"/>
      <x:c r="P18" s="36" t="n">
        <x:v>2008</x:v>
      </x:c>
    </x:row>
    <x:row r="19">
      <x:c r="A19" s="16" t="str">
        <x:v>WBF-015</x:v>
      </x:c>
      <x:c r="B19" s="16" t="str">
        <x:v>2009-08-29—2009-09-12</x:v>
      </x:c>
      <x:c r="C19" s="16" t="str">
        <x:v>圣保罗，巴西</x:v>
      </x:c>
      <x:c r="D19" s="16" t="str">
        <x:v>世界桥牌团体锦标赛</x:v>
      </x:c>
      <x:c r="E19" s="16" t="str">
        <x:v>Venice Cup 女子团体</x:v>
      </x:c>
      <x:c r="F19" s="17" t="n">
        <x:v>1</x:v>
      </x:c>
      <x:c r="G19" s="17" t="str">
        <x:v>金牌</x:v>
      </x:c>
      <x:c r="H19" s="16" t="str">
        <x:v>CHINA LONG ZHU</x:v>
      </x:c>
      <x:c r="I19" s="16" t="str">
        <x:v>Yongling Dong；Yi Qian Liu；Ming Sun；Hongli Wang；Wen Fei Wang；Ru Yan</x:v>
      </x:c>
      <x:c r="J19" s="16" t="str">
        <x:v>Yongling Dong [CHN]；Yi Qian Liu [CHN]；Ming Sun [CHN]；Hongli Wang [CHN]；Wen Fei Wang [CHN]；Ru Yan [CHN]</x:v>
      </x:c>
      <x:c r="K19" s="16" t="str">
        <x:v>NPC: Chuan Cheng Ju; Coach: Ya Fu Lin</x:v>
      </x:c>
      <x:c r="L19" s="16" t="str">
        <x:v>https://db.worldbridge.org/Repository/tourn/SaoPaulo.09/SaoPaulo.htm</x:v>
      </x:c>
      <x:c r="M19" s="17" t="str">
        <x:v>否</x:v>
      </x:c>
      <x:c r="N19" s="17" t="n">
        <x:v>6</x:v>
      </x:c>
      <x:c r="O19" s="17" t="str">
        <x:v>WBF大师分页因上场牌数门槛将部分队员显示为第3；本表以正式团体决赛冠军和正式阵容为准。</x:v>
      </x:c>
      <x:c r="P19" s="17" t="n">
        <x:v>2009</x:v>
      </x:c>
    </x:row>
    <x:row r="20">
      <x:c r="A20" s="35" t="str">
        <x:v>WBF-016</x:v>
      </x:c>
      <x:c r="B20" s="35" t="str">
        <x:v>2010-10</x:v>
      </x:c>
      <x:c r="C20" s="35" t="str">
        <x:v>费城，美国</x:v>
      </x:c>
      <x:c r="D20" s="35" t="str">
        <x:v>世界桥牌综合锦标赛</x:v>
      </x:c>
      <x:c r="E20" s="35" t="str">
        <x:v>McConnell Cup 女子淘汰团体</x:v>
      </x:c>
      <x:c r="F20" s="36" t="n">
        <x:v>1</x:v>
      </x:c>
      <x:c r="G20" s="36" t="str">
        <x:v>金牌</x:v>
      </x:c>
      <x:c r="H20" s="35" t="str">
        <x:v>CHINA LADIES TEAM</x:v>
      </x:c>
      <x:c r="I20" s="35" t="str">
        <x:v>Ming Sun；Ling Gu；Hongli Wang；Yan Lu；Sun Yanhui；Xuefeng Feng</x:v>
      </x:c>
      <x:c r="J20" s="35" t="str">
        <x:v>Ming Sun [CHN]；Ling Gu [CHN]；Hongli Wang [CHN]；Yan Lu [CHN]；Sun Yanhui [CHN]；Xuefeng Feng [CHN]</x:v>
      </x:c>
      <x:c r="K20" s="35"/>
      <x:c r="L20" s="35" t="str">
        <x:v>https://www.wbfmasterpoints.com/Medalsreport.asp</x:v>
      </x:c>
      <x:c r="M20" s="36" t="str">
        <x:v>否</x:v>
      </x:c>
      <x:c r="N20" s="36" t="n">
        <x:v>6</x:v>
      </x:c>
      <x:c r="O20" s="36"/>
      <x:c r="P20" s="36" t="n">
        <x:v>2010</x:v>
      </x:c>
    </x:row>
    <x:row r="21">
      <x:c r="A21" s="16" t="str">
        <x:v>WBF-017</x:v>
      </x:c>
      <x:c r="B21" s="16" t="str">
        <x:v>2010-10</x:v>
      </x:c>
      <x:c r="C21" s="16" t="str">
        <x:v>费城，美国</x:v>
      </x:c>
      <x:c r="D21" s="16" t="str">
        <x:v>世界青年团体锦标赛</x:v>
      </x:c>
      <x:c r="E21" s="16" t="str">
        <x:v>U26 Teams</x:v>
      </x:c>
      <x:c r="F21" s="17" t="n">
        <x:v>3</x:v>
      </x:c>
      <x:c r="G21" s="17" t="str">
        <x:v>铜牌</x:v>
      </x:c>
      <x:c r="H21" s="16" t="str">
        <x:v>CHINA</x:v>
      </x:c>
      <x:c r="I21" s="16" t="str">
        <x:v>Yichao Chen；Junjie Hu；Zisu Lin；Yinghao Liu；Yinpei Shao；Di Zhuo</x:v>
      </x:c>
      <x:c r="J21" s="16" t="str">
        <x:v>Yichao Chen [CHN]；Junjie Hu [CHN]；Zisu Lin [CHN]；Yinghao Liu [CHN]；Yinpei Shao [CHN]；Di Zhuo [CHN]</x:v>
      </x:c>
      <x:c r="K21" s="16"/>
      <x:c r="L21" s="16" t="str">
        <x:v>https://www.worldbridge.org/competitions/the-world-youth-team-championships/</x:v>
      </x:c>
      <x:c r="M21" s="17" t="str">
        <x:v>否</x:v>
      </x:c>
      <x:c r="N21" s="17" t="n">
        <x:v>6</x:v>
      </x:c>
      <x:c r="O21" s="17"/>
      <x:c r="P21" s="17" t="n">
        <x:v>2010</x:v>
      </x:c>
    </x:row>
    <x:row r="22">
      <x:c r="A22" s="35" t="str">
        <x:v>WBF-018</x:v>
      </x:c>
      <x:c r="B22" s="35" t="str">
        <x:v>2010-10</x:v>
      </x:c>
      <x:c r="C22" s="35" t="str">
        <x:v>费城，美国</x:v>
      </x:c>
      <x:c r="D22" s="35" t="str">
        <x:v>世界青年团体锦标赛</x:v>
      </x:c>
      <x:c r="E22" s="35" t="str">
        <x:v>U26 Women Teams</x:v>
      </x:c>
      <x:c r="F22" s="36" t="n">
        <x:v>3</x:v>
      </x:c>
      <x:c r="G22" s="36" t="str">
        <x:v>铜牌</x:v>
      </x:c>
      <x:c r="H22" s="35" t="str">
        <x:v>CHINA</x:v>
      </x:c>
      <x:c r="I22" s="35" t="str">
        <x:v>Xiufen Chang；Xing Li；Yanjiao Liu；Wei Meng；Lulu Peng；Xingxing Shan</x:v>
      </x:c>
      <x:c r="J22" s="35" t="str">
        <x:v>Xiufen Chang [CHN]；Xing Li [CHN]；Yanjiao Liu [CHN]；Wei Meng [CHN]；Lulu Peng [CHN]；Xingxing Shan [CHN]</x:v>
      </x:c>
      <x:c r="K22" s="35" t="str">
        <x:v>NPC: Li Xuan Li; Coach: Honghai Lu</x:v>
      </x:c>
      <x:c r="L22" s="35" t="str">
        <x:v>https://www.worldbridge.org/competitions/the-world-youth-team-championships/</x:v>
      </x:c>
      <x:c r="M22" s="36" t="str">
        <x:v>否</x:v>
      </x:c>
      <x:c r="N22" s="36" t="n">
        <x:v>6</x:v>
      </x:c>
      <x:c r="O22" s="36"/>
      <x:c r="P22" s="36" t="n">
        <x:v>2010</x:v>
      </x:c>
    </x:row>
    <x:row r="23">
      <x:c r="A23" s="16" t="str">
        <x:v>WBF-019</x:v>
      </x:c>
      <x:c r="B23" s="16" t="str">
        <x:v>2012</x:v>
      </x:c>
      <x:c r="C23" s="16" t="str">
        <x:v>里尔，法国</x:v>
      </x:c>
      <x:c r="D23" s="16" t="str">
        <x:v>世界桥牌运动会</x:v>
      </x:c>
      <x:c r="E23" s="16" t="str">
        <x:v>Transnational Mixed Teams 跨国混合团体</x:v>
      </x:c>
      <x:c r="F23" s="17" t="n">
        <x:v>3</x:v>
      </x:c>
      <x:c r="G23" s="17" t="str">
        <x:v>铜牌</x:v>
      </x:c>
      <x:c r="H23" s="16" t="str">
        <x:v>CHINA</x:v>
      </x:c>
      <x:c r="I23" s="16" t="str">
        <x:v>Mao Yuan Hu；Liping Wang；Yi Qian Liu；Zejun Zhuang；Wen Fei Wang；Jian Ming Dai</x:v>
      </x:c>
      <x:c r="J23" s="16" t="str">
        <x:v>Mao Yuan Hu [CHN]；Liping Wang [CHN]；Yi Qian Liu [CHN]；Zejun Zhuang [CHN]；Wen Fei Wang [CHN]；Jian Ming Dai [CHN]</x:v>
      </x:c>
      <x:c r="K23" s="16"/>
      <x:c r="L23" s="16" t="str">
        <x:v>https://www.wbfmasterpoints.com/Medalsreport.asp</x:v>
      </x:c>
      <x:c r="M23" s="17" t="str">
        <x:v>否</x:v>
      </x:c>
      <x:c r="N23" s="17" t="n">
        <x:v>6</x:v>
      </x:c>
      <x:c r="O23" s="17"/>
      <x:c r="P23" s="17" t="n">
        <x:v>2012</x:v>
      </x:c>
    </x:row>
    <x:row r="24">
      <x:c r="A24" s="35" t="str">
        <x:v>WBF-020</x:v>
      </x:c>
      <x:c r="B24" s="35" t="str">
        <x:v>2012-07-25—2012-08-04</x:v>
      </x:c>
      <x:c r="C24" s="35" t="str">
        <x:v>太仓，中国</x:v>
      </x:c>
      <x:c r="D24" s="35" t="str">
        <x:v>世界青年团体锦标赛</x:v>
      </x:c>
      <x:c r="E24" s="35" t="str">
        <x:v>U26 Teams</x:v>
      </x:c>
      <x:c r="F24" s="36" t="n">
        <x:v>3</x:v>
      </x:c>
      <x:c r="G24" s="36" t="str">
        <x:v>铜牌</x:v>
      </x:c>
      <x:c r="H24" s="35" t="str">
        <x:v>CHINA</x:v>
      </x:c>
      <x:c r="I24" s="35" t="str">
        <x:v>Yichao Chen；Junjie Hu；Yujie Jiang；Kai Lu；Yinpei Shao；Jianqiu Shen</x:v>
      </x:c>
      <x:c r="J24" s="35" t="str">
        <x:v>Yichao Chen [CHN]；Junjie Hu [CHN]；Yujie Jiang [CHN]；Kai Lu [CHN]；Yinpei Shao [CHN]；Jianqiu Shen [CHN]</x:v>
      </x:c>
      <x:c r="K24" s="35" t="str">
        <x:v>NPC: Xiaofeng Wang; Coach: Xueming Fu</x:v>
      </x:c>
      <x:c r="L24" s="35" t="str">
        <x:v>https://www.worldbridge.org/competitions/the-world-youth-team-championships/</x:v>
      </x:c>
      <x:c r="M24" s="36" t="str">
        <x:v>否</x:v>
      </x:c>
      <x:c r="N24" s="36" t="n">
        <x:v>6</x:v>
      </x:c>
      <x:c r="O24" s="36"/>
      <x:c r="P24" s="36" t="n">
        <x:v>2012</x:v>
      </x:c>
    </x:row>
    <x:row r="25">
      <x:c r="A25" s="16" t="str">
        <x:v>WBF-021</x:v>
      </x:c>
      <x:c r="B25" s="16" t="str">
        <x:v>2013</x:v>
      </x:c>
      <x:c r="C25" s="16" t="str">
        <x:v>巴厘岛，印度尼西亚</x:v>
      </x:c>
      <x:c r="D25" s="16" t="str">
        <x:v>世界桥牌团体锦标赛</x:v>
      </x:c>
      <x:c r="E25" s="16" t="str">
        <x:v>Transnational Open Teams 跨国公开团体</x:v>
      </x:c>
      <x:c r="F25" s="17" t="n">
        <x:v>2</x:v>
      </x:c>
      <x:c r="G25" s="17" t="str">
        <x:v>银牌</x:v>
      </x:c>
      <x:c r="H25" s="16" t="str">
        <x:v>CHINA</x:v>
      </x:c>
      <x:c r="I25" s="16" t="str">
        <x:v>Mao Yuan Hu；Li Xin Yang；Jian Ming Dai；Zejun Zhuang；Zi Jian Shao；Yi Qian Liu</x:v>
      </x:c>
      <x:c r="J25" s="16" t="str">
        <x:v>Mao Yuan Hu [CHN]；Li Xin Yang [CHN]；Jian Ming Dai [CHN]；Zejun Zhuang [CHN]；Zi Jian Shao [CHN]；Yi Qian Liu [CHN]</x:v>
      </x:c>
      <x:c r="K25" s="16"/>
      <x:c r="L25" s="16" t="str">
        <x:v>https://www.wbfmasterpoints.com/Medalsreport.asp</x:v>
      </x:c>
      <x:c r="M25" s="17" t="str">
        <x:v>否</x:v>
      </x:c>
      <x:c r="N25" s="17" t="n">
        <x:v>6</x:v>
      </x:c>
      <x:c r="O25" s="17"/>
      <x:c r="P25" s="17" t="n">
        <x:v>2013</x:v>
      </x:c>
    </x:row>
    <x:row r="26">
      <x:c r="A26" s="35" t="str">
        <x:v>WBF-022</x:v>
      </x:c>
      <x:c r="B26" s="35" t="str">
        <x:v>2013</x:v>
      </x:c>
      <x:c r="C26" s="35" t="str">
        <x:v>亚特兰大，美国</x:v>
      </x:c>
      <x:c r="D26" s="35" t="str">
        <x:v>第3届世界青年公开锦标赛</x:v>
      </x:c>
      <x:c r="E26" s="35" t="str">
        <x:v>U21 Pairs / Youngsters Pairs</x:v>
      </x:c>
      <x:c r="F26" s="36" t="n">
        <x:v>3</x:v>
      </x:c>
      <x:c r="G26" s="36" t="str">
        <x:v>铜牌</x:v>
      </x:c>
      <x:c r="H26" s="35" t="str">
        <x:v>Kai Jin – Tianyi Jin</x:v>
      </x:c>
      <x:c r="I26" s="35" t="str">
        <x:v>Kai Jin；Tianyi Jin</x:v>
      </x:c>
      <x:c r="J26" s="35" t="str">
        <x:v>Kai Jin [CHN]；Tianyi Jin [CHN]</x:v>
      </x:c>
      <x:c r="K26" s="35"/>
      <x:c r="L26" s="35" t="str">
        <x:v>https://www.worldbridge.org/competitions/the-world-youth-transnational-bridge-championships/</x:v>
      </x:c>
      <x:c r="M26" s="36" t="str">
        <x:v>否</x:v>
      </x:c>
      <x:c r="N26" s="36" t="n">
        <x:v>2</x:v>
      </x:c>
      <x:c r="O26" s="36"/>
      <x:c r="P26" s="36" t="n">
        <x:v>2013</x:v>
      </x:c>
    </x:row>
    <x:row r="27">
      <x:c r="A27" s="16" t="str">
        <x:v>WBF-023</x:v>
      </x:c>
      <x:c r="B27" s="16" t="str">
        <x:v>2013</x:v>
      </x:c>
      <x:c r="C27" s="16" t="str">
        <x:v>亚特兰大，美国</x:v>
      </x:c>
      <x:c r="D27" s="16" t="str">
        <x:v>第3届世界青年公开锦标赛</x:v>
      </x:c>
      <x:c r="E27" s="16" t="str">
        <x:v>U21 Teams / Youngsters Teams</x:v>
      </x:c>
      <x:c r="F27" s="17" t="n">
        <x:v>3</x:v>
      </x:c>
      <x:c r="G27" s="17" t="str">
        <x:v>铜牌</x:v>
      </x:c>
      <x:c r="H27" s="16" t="str">
        <x:v>CHINA XNWY</x:v>
      </x:c>
      <x:c r="I27" s="16" t="str">
        <x:v>Kai Jin；Felicia Yu；Kaiwen Yu；Yiling Shen；Tianyi Jin；Zhizhou Sha</x:v>
      </x:c>
      <x:c r="J27" s="16" t="str">
        <x:v>Kai Jin [CHN]；Felicia Yu [CHN]；Kaiwen Yu [CHN]；Yiling Shen [CHN]；Tianyi Jin [CHN]；Zhizhou Sha [CHN]</x:v>
      </x:c>
      <x:c r="K27" s="16"/>
      <x:c r="L27" s="16" t="str">
        <x:v>https://www.worldbridge.org/competitions/the-world-youth-transnational-bridge-championships/the-u21-teams/</x:v>
      </x:c>
      <x:c r="M27" s="17" t="str">
        <x:v>否</x:v>
      </x:c>
      <x:c r="N27" s="17" t="n">
        <x:v>6</x:v>
      </x:c>
      <x:c r="O27" s="17"/>
      <x:c r="P27" s="17" t="n">
        <x:v>2013</x:v>
      </x:c>
    </x:row>
    <x:row r="28">
      <x:c r="A28" s="35" t="str">
        <x:v>WBF-024</x:v>
      </x:c>
      <x:c r="B28" s="35" t="str">
        <x:v>2014-08-13—2014-08-23</x:v>
      </x:c>
      <x:c r="C28" s="35" t="str">
        <x:v>伊斯坦布尔，土耳其</x:v>
      </x:c>
      <x:c r="D28" s="35" t="str">
        <x:v>世界青年团体锦标赛</x:v>
      </x:c>
      <x:c r="E28" s="35" t="str">
        <x:v>U16 Teams</x:v>
      </x:c>
      <x:c r="F28" s="36" t="n">
        <x:v>3</x:v>
      </x:c>
      <x:c r="G28" s="36" t="str">
        <x:v>铜牌</x:v>
      </x:c>
      <x:c r="H28" s="35" t="str">
        <x:v>CHINA</x:v>
      </x:c>
      <x:c r="I28" s="35" t="str">
        <x:v>Zhiyu Cheng；Dongke Fang；Baozhuo Jiang；Randy Pan；Jiahe Shen；Zihan Wang</x:v>
      </x:c>
      <x:c r="J28" s="35" t="str">
        <x:v>Zhiyu Cheng [CHN]；Dongke Fang [CHN]；Baozhuo Jiang [CHN]；Randy Pan [CHN]；Jiahe Shen [CHN]；Zihan Wang [CHN]</x:v>
      </x:c>
      <x:c r="K28" s="35" t="str">
        <x:v>NPC: Jichao Hu; Coach: Tong Jiang</x:v>
      </x:c>
      <x:c r="L28" s="35" t="str">
        <x:v>https://www.worldbridge.org/competitions/the-world-youth-team-championships/</x:v>
      </x:c>
      <x:c r="M28" s="36" t="str">
        <x:v>否</x:v>
      </x:c>
      <x:c r="N28" s="36" t="n">
        <x:v>6</x:v>
      </x:c>
      <x:c r="O28" s="36"/>
      <x:c r="P28" s="36" t="n">
        <x:v>2014</x:v>
      </x:c>
    </x:row>
    <x:row r="29">
      <x:c r="A29" s="16" t="str">
        <x:v>WBF-025</x:v>
      </x:c>
      <x:c r="B29" s="16" t="str">
        <x:v>2014-08-13—2014-08-23</x:v>
      </x:c>
      <x:c r="C29" s="16" t="str">
        <x:v>伊斯坦布尔，土耳其</x:v>
      </x:c>
      <x:c r="D29" s="16" t="str">
        <x:v>世界青年团体锦标赛</x:v>
      </x:c>
      <x:c r="E29" s="16" t="str">
        <x:v>U26 Women Teams</x:v>
      </x:c>
      <x:c r="F29" s="17" t="n">
        <x:v>2</x:v>
      </x:c>
      <x:c r="G29" s="17" t="str">
        <x:v>银牌</x:v>
      </x:c>
      <x:c r="H29" s="16" t="str">
        <x:v>CHINA</x:v>
      </x:c>
      <x:c r="I29" s="16" t="str">
        <x:v>Li Chen；Bo Fu；Hanxiao Li；Xinyi Li；Qihao Wu；Bing Zhao</x:v>
      </x:c>
      <x:c r="J29" s="16" t="str">
        <x:v>Li Chen [CHN]；Bo Fu [CHN]；Hanxiao Li [CHN]；Xinyi Li [CHN]；Qihao Wu [CHN]；Bing Zhao [CHN]</x:v>
      </x:c>
      <x:c r="K29" s="16" t="str">
        <x:v>NPC: Guoqiang Zhang; Coach: Xueming Fu</x:v>
      </x:c>
      <x:c r="L29" s="16" t="str">
        <x:v>https://www.worldbridge.org/competitions/the-world-youth-team-championships/</x:v>
      </x:c>
      <x:c r="M29" s="17" t="str">
        <x:v>否</x:v>
      </x:c>
      <x:c r="N29" s="17" t="n">
        <x:v>6</x:v>
      </x:c>
      <x:c r="O29" s="17"/>
      <x:c r="P29" s="17" t="n">
        <x:v>2014</x:v>
      </x:c>
    </x:row>
    <x:row r="30">
      <x:c r="A30" s="35" t="str">
        <x:v>WBF-026</x:v>
      </x:c>
      <x:c r="B30" s="35" t="str">
        <x:v>2014-10</x:v>
      </x:c>
      <x:c r="C30" s="35" t="str">
        <x:v>三亚，中国</x:v>
      </x:c>
      <x:c r="D30" s="35" t="str">
        <x:v>世界桥牌综合锦标赛</x:v>
      </x:c>
      <x:c r="E30" s="35" t="str">
        <x:v>Mixed Pairs 混合双人</x:v>
      </x:c>
      <x:c r="F30" s="36" t="n">
        <x:v>1</x:v>
      </x:c>
      <x:c r="G30" s="36" t="str">
        <x:v>金牌</x:v>
      </x:c>
      <x:c r="H30" s="35" t="str">
        <x:v>Jie Zhao – Kerri Sanborn</x:v>
      </x:c>
      <x:c r="I30" s="35" t="str">
        <x:v>Jie Zhao</x:v>
      </x:c>
      <x:c r="J30" s="35" t="str">
        <x:v>Jie Zhao [CHN]；Kerri Sanborn [USA]</x:v>
      </x:c>
      <x:c r="K30" s="35"/>
      <x:c r="L30" s="35" t="str">
        <x:v>https://www.wbfmasterpoints.com/Medalsreport.asp</x:v>
      </x:c>
      <x:c r="M30" s="36" t="str">
        <x:v>是</x:v>
      </x:c>
      <x:c r="N30" s="36" t="n">
        <x:v>1</x:v>
      </x:c>
      <x:c r="O30" s="36"/>
      <x:c r="P30" s="36" t="n">
        <x:v>2014</x:v>
      </x:c>
    </x:row>
    <x:row r="31">
      <x:c r="A31" s="16" t="str">
        <x:v>WBF-027</x:v>
      </x:c>
      <x:c r="B31" s="16" t="str">
        <x:v>2014-10</x:v>
      </x:c>
      <x:c r="C31" s="16" t="str">
        <x:v>三亚，中国</x:v>
      </x:c>
      <x:c r="D31" s="16" t="str">
        <x:v>世界桥牌综合锦标赛</x:v>
      </x:c>
      <x:c r="E31" s="16" t="str">
        <x:v>Mixed Pairs 混合双人</x:v>
      </x:c>
      <x:c r="F31" s="17" t="n">
        <x:v>3</x:v>
      </x:c>
      <x:c r="G31" s="17" t="str">
        <x:v>铜牌</x:v>
      </x:c>
      <x:c r="H31" s="16" t="str">
        <x:v>Bangxiang Zhang – Nan Wang</x:v>
      </x:c>
      <x:c r="I31" s="16" t="str">
        <x:v>Bangxiang Zhang；Nan Wang</x:v>
      </x:c>
      <x:c r="J31" s="16" t="str">
        <x:v>Bangxiang Zhang [CHN]；Nan Wang [CHN]</x:v>
      </x:c>
      <x:c r="K31" s="16"/>
      <x:c r="L31" s="16" t="str">
        <x:v>https://www.wbfmasterpoints.com/Medalsreport.asp</x:v>
      </x:c>
      <x:c r="M31" s="17" t="str">
        <x:v>否</x:v>
      </x:c>
      <x:c r="N31" s="17" t="n">
        <x:v>2</x:v>
      </x:c>
      <x:c r="O31" s="17"/>
      <x:c r="P31" s="17" t="n">
        <x:v>2014</x:v>
      </x:c>
    </x:row>
    <x:row r="32">
      <x:c r="A32" s="35" t="str">
        <x:v>WBF-028</x:v>
      </x:c>
      <x:c r="B32" s="35" t="str">
        <x:v>2014-10</x:v>
      </x:c>
      <x:c r="C32" s="35" t="str">
        <x:v>三亚，中国</x:v>
      </x:c>
      <x:c r="D32" s="35" t="str">
        <x:v>世界桥牌综合锦标赛</x:v>
      </x:c>
      <x:c r="E32" s="35" t="str">
        <x:v>Mixed Teams 混合团体</x:v>
      </x:c>
      <x:c r="F32" s="36" t="n">
        <x:v>2</x:v>
      </x:c>
      <x:c r="G32" s="36" t="str">
        <x:v>银牌</x:v>
      </x:c>
      <x:c r="H32" s="35" t="str">
        <x:v>CHINA</x:v>
      </x:c>
      <x:c r="I32" s="35" t="str">
        <x:v>Liping Wang；Hongli Wang；Yu Zhang；Li Xin Yang；Jian Ming Dai；Shengyue Gui</x:v>
      </x:c>
      <x:c r="J32" s="35" t="str">
        <x:v>Liping Wang [CHN]；Hongli Wang [CHN]；Yu Zhang [CHN]；Li Xin Yang [CHN]；Jian Ming Dai [CHN]；Shengyue Gui [CHN]</x:v>
      </x:c>
      <x:c r="K32" s="35"/>
      <x:c r="L32" s="35" t="str">
        <x:v>https://www.wbfmasterpoints.com/Medalsreport.asp</x:v>
      </x:c>
      <x:c r="M32" s="36" t="str">
        <x:v>否</x:v>
      </x:c>
      <x:c r="N32" s="36" t="n">
        <x:v>6</x:v>
      </x:c>
      <x:c r="O32" s="36"/>
      <x:c r="P32" s="36" t="n">
        <x:v>2014</x:v>
      </x:c>
    </x:row>
    <x:row r="33">
      <x:c r="A33" s="16" t="str">
        <x:v>WBF-029</x:v>
      </x:c>
      <x:c r="B33" s="16" t="str">
        <x:v>2014-10</x:v>
      </x:c>
      <x:c r="C33" s="16" t="str">
        <x:v>三亚，中国</x:v>
      </x:c>
      <x:c r="D33" s="16" t="str">
        <x:v>世界桥牌综合锦标赛</x:v>
      </x:c>
      <x:c r="E33" s="16" t="str">
        <x:v>Mixed Teams 混合团体</x:v>
      </x:c>
      <x:c r="F33" s="17" t="n">
        <x:v>3</x:v>
      </x:c>
      <x:c r="G33" s="17" t="str">
        <x:v>铜牌</x:v>
      </x:c>
      <x:c r="H33" s="16" t="str">
        <x:v>CHINA</x:v>
      </x:c>
      <x:c r="I33" s="16" t="str">
        <x:v>Mao Yuan Hu；Weimin Wang；Zejun Zhuang；Wen Fei Wang；Yi Qian Liu；Yong Mei Zhou</x:v>
      </x:c>
      <x:c r="J33" s="16" t="str">
        <x:v>Mao Yuan Hu [CHN]；Weimin Wang [CHN]；Zejun Zhuang [CHN]；Wen Fei Wang [CHN]；Yi Qian Liu [CHN]；Yong Mei Zhou [CHN]</x:v>
      </x:c>
      <x:c r="K33" s="16"/>
      <x:c r="L33" s="16" t="str">
        <x:v>https://www.wbfmasterpoints.com/Medalsreport.asp</x:v>
      </x:c>
      <x:c r="M33" s="17" t="str">
        <x:v>否</x:v>
      </x:c>
      <x:c r="N33" s="17" t="n">
        <x:v>6</x:v>
      </x:c>
      <x:c r="O33" s="17" t="str">
        <x:v>WBF大师分页把两支并列铜牌队合并展示；此处仅列含CHN选手的中国队阵容。</x:v>
      </x:c>
      <x:c r="P33" s="17" t="n">
        <x:v>2014</x:v>
      </x:c>
    </x:row>
    <x:row r="34">
      <x:c r="A34" s="35" t="str">
        <x:v>WBF-030</x:v>
      </x:c>
      <x:c r="B34" s="35" t="str">
        <x:v>2014-10</x:v>
      </x:c>
      <x:c r="C34" s="35" t="str">
        <x:v>三亚，中国</x:v>
      </x:c>
      <x:c r="D34" s="35" t="str">
        <x:v>世界桥牌综合锦标赛</x:v>
      </x:c>
      <x:c r="E34" s="35" t="str">
        <x:v>Women Pairs 女子双人</x:v>
      </x:c>
      <x:c r="F34" s="36" t="n">
        <x:v>1</x:v>
      </x:c>
      <x:c r="G34" s="36" t="str">
        <x:v>金牌</x:v>
      </x:c>
      <x:c r="H34" s="35" t="str">
        <x:v>Tao Zhou – Shu Liu</x:v>
      </x:c>
      <x:c r="I34" s="35" t="str">
        <x:v>Tao Zhou；Shu Liu</x:v>
      </x:c>
      <x:c r="J34" s="35" t="str">
        <x:v>Tao Zhou [CHN]；Shu Liu [CHN]</x:v>
      </x:c>
      <x:c r="K34" s="35"/>
      <x:c r="L34" s="35" t="str">
        <x:v>https://www.wbfmasterpoints.com/Medalsreport.asp</x:v>
      </x:c>
      <x:c r="M34" s="36" t="str">
        <x:v>否</x:v>
      </x:c>
      <x:c r="N34" s="36" t="n">
        <x:v>2</x:v>
      </x:c>
      <x:c r="O34" s="36"/>
      <x:c r="P34" s="36" t="n">
        <x:v>2014</x:v>
      </x:c>
    </x:row>
    <x:row r="35">
      <x:c r="A35" s="16" t="str">
        <x:v>WBF-031</x:v>
      </x:c>
      <x:c r="B35" s="16" t="str">
        <x:v>2014-10</x:v>
      </x:c>
      <x:c r="C35" s="16" t="str">
        <x:v>三亚，中国</x:v>
      </x:c>
      <x:c r="D35" s="16" t="str">
        <x:v>世界桥牌综合锦标赛</x:v>
      </x:c>
      <x:c r="E35" s="16" t="str">
        <x:v>Women Pairs 女子双人</x:v>
      </x:c>
      <x:c r="F35" s="17" t="n">
        <x:v>2</x:v>
      </x:c>
      <x:c r="G35" s="17" t="str">
        <x:v>银牌</x:v>
      </x:c>
      <x:c r="H35" s="16" t="str">
        <x:v>Yan Huang – Ling Gan</x:v>
      </x:c>
      <x:c r="I35" s="16" t="str">
        <x:v>Yan Huang；Ling Gan</x:v>
      </x:c>
      <x:c r="J35" s="16" t="str">
        <x:v>Yan Huang [CHN]；Ling Gan [CHN]</x:v>
      </x:c>
      <x:c r="K35" s="16"/>
      <x:c r="L35" s="16" t="str">
        <x:v>https://www.wbfmasterpoints.com/Medalsreport.asp</x:v>
      </x:c>
      <x:c r="M35" s="17" t="str">
        <x:v>否</x:v>
      </x:c>
      <x:c r="N35" s="17" t="n">
        <x:v>2</x:v>
      </x:c>
      <x:c r="O35" s="17"/>
      <x:c r="P35" s="17" t="n">
        <x:v>2014</x:v>
      </x:c>
    </x:row>
    <x:row r="36">
      <x:c r="A36" s="35" t="str">
        <x:v>WBF-032</x:v>
      </x:c>
      <x:c r="B36" s="35" t="str">
        <x:v>2014-10</x:v>
      </x:c>
      <x:c r="C36" s="35" t="str">
        <x:v>三亚，中国</x:v>
      </x:c>
      <x:c r="D36" s="35" t="str">
        <x:v>世界桥牌综合锦标赛</x:v>
      </x:c>
      <x:c r="E36" s="35" t="str">
        <x:v>Women Teams 女子团体</x:v>
      </x:c>
      <x:c r="F36" s="36" t="n">
        <x:v>2</x:v>
      </x:c>
      <x:c r="G36" s="36" t="str">
        <x:v>银牌</x:v>
      </x:c>
      <x:c r="H36" s="35" t="str">
        <x:v>CHINA</x:v>
      </x:c>
      <x:c r="I36" s="35" t="str">
        <x:v>Hongli Wang；Wen Fei Wang；Jing Rong Ran；Yu Zhang；Yan Lu；Shaohong Wu</x:v>
      </x:c>
      <x:c r="J36" s="35" t="str">
        <x:v>Hongli Wang [CHN]；Wen Fei Wang [CHN]；Jing Rong Ran [CHN]；Yu Zhang [CHN]；Yan Lu [CHN]；Shaohong Wu [CHN]</x:v>
      </x:c>
      <x:c r="K36" s="35"/>
      <x:c r="L36" s="35" t="str">
        <x:v>https://www.wbfmasterpoints.com/Medalsreport.asp</x:v>
      </x:c>
      <x:c r="M36" s="36" t="str">
        <x:v>否</x:v>
      </x:c>
      <x:c r="N36" s="36" t="n">
        <x:v>6</x:v>
      </x:c>
      <x:c r="O36" s="36"/>
      <x:c r="P36" s="36" t="n">
        <x:v>2014</x:v>
      </x:c>
    </x:row>
    <x:row r="37">
      <x:c r="A37" s="16" t="str">
        <x:v>WBF-033</x:v>
      </x:c>
      <x:c r="B37" s="16" t="str">
        <x:v>2015</x:v>
      </x:c>
      <x:c r="C37" s="16" t="str">
        <x:v>金奈，印度</x:v>
      </x:c>
      <x:c r="D37" s="16" t="str">
        <x:v>世界桥牌团体锦标赛</x:v>
      </x:c>
      <x:c r="E37" s="16" t="str">
        <x:v>Transnational Open Teams 跨国公开团体</x:v>
      </x:c>
      <x:c r="F37" s="17" t="n">
        <x:v>3</x:v>
      </x:c>
      <x:c r="G37" s="17" t="str">
        <x:v>铜牌</x:v>
      </x:c>
      <x:c r="H37" s="16" t="str">
        <x:v>TRANSNATIONAL TEAM</x:v>
      </x:c>
      <x:c r="I37" s="16" t="str">
        <x:v>Yalan Zhang；Ping Wang</x:v>
      </x:c>
      <x:c r="J37" s="16" t="str">
        <x:v>Yalan Zhang [CHN]；Ping Wang [CHN]；Juei-Yu Shih [TPE]；Chen Yeh [TPE]；Inon Liran [ISR]；Ehud Friedlander [ISR]</x:v>
      </x:c>
      <x:c r="K37" s="16"/>
      <x:c r="L37" s="16" t="str">
        <x:v>https://www.wbfmasterpoints.com/Medalsreport.asp</x:v>
      </x:c>
      <x:c r="M37" s="17" t="str">
        <x:v>是</x:v>
      </x:c>
      <x:c r="N37" s="17" t="n">
        <x:v>2</x:v>
      </x:c>
      <x:c r="O37" s="17"/>
      <x:c r="P37" s="17" t="n">
        <x:v>2015</x:v>
      </x:c>
    </x:row>
    <x:row r="38">
      <x:c r="A38" s="35" t="str">
        <x:v>WBF-034</x:v>
      </x:c>
      <x:c r="B38" s="35" t="str">
        <x:v>2015-08-20—2015-08-29</x:v>
      </x:c>
      <x:c r="C38" s="35" t="str">
        <x:v>奥帕蒂亚，克罗地亚</x:v>
      </x:c>
      <x:c r="D38" s="35" t="str">
        <x:v>第4届世界青年公开锦标赛</x:v>
      </x:c>
      <x:c r="E38" s="35" t="str">
        <x:v>U16 Pairs / Kids Pairs</x:v>
      </x:c>
      <x:c r="F38" s="36" t="n">
        <x:v>3</x:v>
      </x:c>
      <x:c r="G38" s="36" t="str">
        <x:v>铜牌</x:v>
      </x:c>
      <x:c r="H38" s="35" t="str">
        <x:v>Zhe Wu – Zhijie Yuan</x:v>
      </x:c>
      <x:c r="I38" s="35" t="str">
        <x:v>Zhe Wu；Zhijie Yuan</x:v>
      </x:c>
      <x:c r="J38" s="35" t="str">
        <x:v>Zhe Wu [CHN]；Zhijie Yuan [CHN]</x:v>
      </x:c>
      <x:c r="K38" s="35"/>
      <x:c r="L38" s="35" t="str">
        <x:v>https://www.worldbridge.org/competitions/the-world-youth-transnational-bridge-championships/</x:v>
      </x:c>
      <x:c r="M38" s="36" t="str">
        <x:v>否</x:v>
      </x:c>
      <x:c r="N38" s="36" t="n">
        <x:v>2</x:v>
      </x:c>
      <x:c r="O38" s="36"/>
      <x:c r="P38" s="36" t="n">
        <x:v>2015</x:v>
      </x:c>
    </x:row>
    <x:row r="39">
      <x:c r="A39" s="16" t="str">
        <x:v>WBF-035</x:v>
      </x:c>
      <x:c r="B39" s="16" t="str">
        <x:v>2015-08-20—2015-08-29</x:v>
      </x:c>
      <x:c r="C39" s="16" t="str">
        <x:v>奥帕蒂亚，克罗地亚</x:v>
      </x:c>
      <x:c r="D39" s="16" t="str">
        <x:v>第4届世界青年公开锦标赛</x:v>
      </x:c>
      <x:c r="E39" s="16" t="str">
        <x:v>U16 Teams / Kids Teams</x:v>
      </x:c>
      <x:c r="F39" s="17" t="n">
        <x:v>1</x:v>
      </x:c>
      <x:c r="G39" s="17" t="str">
        <x:v>金牌</x:v>
      </x:c>
      <x:c r="H39" s="16" t="str">
        <x:v>SX HYSW</x:v>
      </x:c>
      <x:c r="I39" s="16" t="str">
        <x:v>Yingqi Wang；Tianle Yao；Siyuan Liu；Renyu Li；Yijun Shang；Yiqin Shao</x:v>
      </x:c>
      <x:c r="J39" s="16" t="str">
        <x:v>Yingqi Wang [CHN]；Tianle Yao [CHN]；Siyuan Liu [CHN]；Renyu Li [CHN]；Yijun Shang [CHN]；Yiqin Shao [CHN]</x:v>
      </x:c>
      <x:c r="K39" s="16" t="str">
        <x:v>NPC: Wen Cao; Coach: Lin Lin</x:v>
      </x:c>
      <x:c r="L39" s="16" t="str">
        <x:v>https://www.worldbridge.org/competitions/the-world-youth-transnational-bridge-championships/</x:v>
      </x:c>
      <x:c r="M39" s="17" t="str">
        <x:v>否</x:v>
      </x:c>
      <x:c r="N39" s="17" t="n">
        <x:v>6</x:v>
      </x:c>
      <x:c r="O39" s="17"/>
      <x:c r="P39" s="17" t="n">
        <x:v>2015</x:v>
      </x:c>
    </x:row>
    <x:row r="40">
      <x:c r="A40" s="35" t="str">
        <x:v>WBF-036</x:v>
      </x:c>
      <x:c r="B40" s="35" t="str">
        <x:v>2015-08-20—2015-08-29</x:v>
      </x:c>
      <x:c r="C40" s="35" t="str">
        <x:v>奥帕蒂亚，克罗地亚</x:v>
      </x:c>
      <x:c r="D40" s="35" t="str">
        <x:v>第4届世界青年公开锦标赛</x:v>
      </x:c>
      <x:c r="E40" s="35" t="str">
        <x:v>U16 Teams / Kids Teams</x:v>
      </x:c>
      <x:c r="F40" s="36" t="n">
        <x:v>2</x:v>
      </x:c>
      <x:c r="G40" s="36" t="str">
        <x:v>银牌</x:v>
      </x:c>
      <x:c r="H40" s="35" t="str">
        <x:v>CHINA RDFZ1</x:v>
      </x:c>
      <x:c r="I40" s="35" t="str">
        <x:v>Zixi Cai；Yuanzhe Ding；Randy Pan；Baozhuo Jiang；Shi Qiu；Haoqing Yu</x:v>
      </x:c>
      <x:c r="J40" s="35" t="str">
        <x:v>Zixi Cai [CHN]；Yuanzhe Ding [CHN]；Randy Pan [CHN]；Baozhuo Jiang [CHN]；Shi Qiu [CHN]；Haoqing Yu [CHN]</x:v>
      </x:c>
      <x:c r="K40" s="35" t="str">
        <x:v>NPC: Jichao Hu; Coach: Tong Jiang</x:v>
      </x:c>
      <x:c r="L40" s="35" t="str">
        <x:v>https://www.worldbridge.org/competitions/the-world-youth-transnational-bridge-championships/</x:v>
      </x:c>
      <x:c r="M40" s="36" t="str">
        <x:v>否</x:v>
      </x:c>
      <x:c r="N40" s="36" t="n">
        <x:v>6</x:v>
      </x:c>
      <x:c r="O40" s="36"/>
      <x:c r="P40" s="36" t="n">
        <x:v>2015</x:v>
      </x:c>
    </x:row>
    <x:row r="41">
      <x:c r="A41" s="16" t="str">
        <x:v>WBF-037</x:v>
      </x:c>
      <x:c r="B41" s="16" t="str">
        <x:v>2015-08-20—2015-08-29</x:v>
      </x:c>
      <x:c r="C41" s="16" t="str">
        <x:v>奥帕蒂亚，克罗地亚</x:v>
      </x:c>
      <x:c r="D41" s="16" t="str">
        <x:v>第4届世界青年公开锦标赛</x:v>
      </x:c>
      <x:c r="E41" s="16" t="str">
        <x:v>U16 Teams / Kids Teams</x:v>
      </x:c>
      <x:c r="F41" s="17" t="n">
        <x:v>3</x:v>
      </x:c>
      <x:c r="G41" s="17" t="str">
        <x:v>铜牌</x:v>
      </x:c>
      <x:c r="H41" s="16" t="str">
        <x:v>SX XNWY</x:v>
      </x:c>
      <x:c r="I41" s="16" t="str">
        <x:v>Yihong Liu；Wenjie Xue；Ruizhe Wang；Hanyang Dai；Jiaxin Tong；Tiancheng Zhang</x:v>
      </x:c>
      <x:c r="J41" s="16" t="str">
        <x:v>Yihong Liu [CHN]；Wenjie Xue [CHN]；Ruizhe Wang [CHN]；Hanyang Dai [CHN]；Jiaxin Tong [CHN]；Tiancheng Zhang [CHN]</x:v>
      </x:c>
      <x:c r="K41" s="16" t="str">
        <x:v>NPC: Qiwei Li; Coach: Hui Fu</x:v>
      </x:c>
      <x:c r="L41" s="16" t="str">
        <x:v>https://www.worldbridge.org/competitions/the-world-youth-transnational-bridge-championships/</x:v>
      </x:c>
      <x:c r="M41" s="17" t="str">
        <x:v>否</x:v>
      </x:c>
      <x:c r="N41" s="17" t="n">
        <x:v>6</x:v>
      </x:c>
      <x:c r="O41" s="17"/>
      <x:c r="P41" s="17" t="n">
        <x:v>2015</x:v>
      </x:c>
    </x:row>
    <x:row r="42">
      <x:c r="A42" s="35" t="str">
        <x:v>WBF-038</x:v>
      </x:c>
      <x:c r="B42" s="35" t="str">
        <x:v>2015-08-20—2015-08-29</x:v>
      </x:c>
      <x:c r="C42" s="35" t="str">
        <x:v>奥帕蒂亚，克罗地亚</x:v>
      </x:c>
      <x:c r="D42" s="35" t="str">
        <x:v>第4届世界青年公开锦标赛</x:v>
      </x:c>
      <x:c r="E42" s="35" t="str">
        <x:v>U21 Pairs</x:v>
      </x:c>
      <x:c r="F42" s="36" t="n">
        <x:v>1</x:v>
      </x:c>
      <x:c r="G42" s="36" t="str">
        <x:v>金牌</x:v>
      </x:c>
      <x:c r="H42" s="35" t="str">
        <x:v>Hongji Wei – Shiyu Sun</x:v>
      </x:c>
      <x:c r="I42" s="35" t="str">
        <x:v>Hongji Wei；Shiyu Sun</x:v>
      </x:c>
      <x:c r="J42" s="35" t="str">
        <x:v>Hongji Wei [CHN]；Shiyu Sun [CHN]</x:v>
      </x:c>
      <x:c r="K42" s="35"/>
      <x:c r="L42" s="35" t="str">
        <x:v>https://www.worldbridge.org/competitions/the-world-youth-transnational-bridge-championships/</x:v>
      </x:c>
      <x:c r="M42" s="36" t="str">
        <x:v>否</x:v>
      </x:c>
      <x:c r="N42" s="36" t="n">
        <x:v>2</x:v>
      </x:c>
      <x:c r="O42" s="36"/>
      <x:c r="P42" s="36" t="n">
        <x:v>2015</x:v>
      </x:c>
    </x:row>
    <x:row r="43">
      <x:c r="A43" s="16" t="str">
        <x:v>WBF-039</x:v>
      </x:c>
      <x:c r="B43" s="16" t="str">
        <x:v>2015-08-20—2015-08-29</x:v>
      </x:c>
      <x:c r="C43" s="16" t="str">
        <x:v>奥帕蒂亚，克罗地亚</x:v>
      </x:c>
      <x:c r="D43" s="16" t="str">
        <x:v>第4届世界青年公开锦标赛</x:v>
      </x:c>
      <x:c r="E43" s="16" t="str">
        <x:v>U21 Pairs</x:v>
      </x:c>
      <x:c r="F43" s="17" t="n">
        <x:v>2</x:v>
      </x:c>
      <x:c r="G43" s="17" t="str">
        <x:v>银牌</x:v>
      </x:c>
      <x:c r="H43" s="16" t="str">
        <x:v>Yichen Yin – Zhengyang Fang</x:v>
      </x:c>
      <x:c r="I43" s="16" t="str">
        <x:v>Yichen Yin；Zhengyang Fang</x:v>
      </x:c>
      <x:c r="J43" s="16" t="str">
        <x:v>Yichen Yin [CHN]；Zhengyang Fang [CHN]</x:v>
      </x:c>
      <x:c r="K43" s="16"/>
      <x:c r="L43" s="16" t="str">
        <x:v>https://www.worldbridge.org/competitions/the-world-youth-transnational-bridge-championships/</x:v>
      </x:c>
      <x:c r="M43" s="17" t="str">
        <x:v>否</x:v>
      </x:c>
      <x:c r="N43" s="17" t="n">
        <x:v>2</x:v>
      </x:c>
      <x:c r="O43" s="17"/>
      <x:c r="P43" s="17" t="n">
        <x:v>2015</x:v>
      </x:c>
    </x:row>
    <x:row r="44">
      <x:c r="A44" s="35" t="str">
        <x:v>WBF-040</x:v>
      </x:c>
      <x:c r="B44" s="35" t="str">
        <x:v>2015-08-20—2015-08-29</x:v>
      </x:c>
      <x:c r="C44" s="35" t="str">
        <x:v>奥帕蒂亚，克罗地亚</x:v>
      </x:c>
      <x:c r="D44" s="35" t="str">
        <x:v>第4届世界青年公开锦标赛</x:v>
      </x:c>
      <x:c r="E44" s="35" t="str">
        <x:v>U21 Teams / Youngsters Teams</x:v>
      </x:c>
      <x:c r="F44" s="36" t="n">
        <x:v>1</x:v>
      </x:c>
      <x:c r="G44" s="36" t="str">
        <x:v>金牌</x:v>
      </x:c>
      <x:c r="H44" s="35" t="str">
        <x:v>CHINA</x:v>
      </x:c>
      <x:c r="I44" s="35" t="str">
        <x:v>Shiyu Sun；Zhengyang Fang；Zihan Wang；Dongke Fang；Yichen Yin；Hongji Wei</x:v>
      </x:c>
      <x:c r="J44" s="35" t="str">
        <x:v>Shiyu Sun [CHN]；Zhengyang Fang [CHN]；Zihan Wang [CHN]；Dongke Fang [CHN]；Yichen Yin [CHN]；Hongji Wei [CHN]</x:v>
      </x:c>
      <x:c r="K44" s="35" t="str">
        <x:v>NPC: Jichao Hu; Coach: Tong Jiang</x:v>
      </x:c>
      <x:c r="L44" s="35" t="str">
        <x:v>https://db.worldbridge.org/repository/tourn/opatija.15/Microsite/Results.htm</x:v>
      </x:c>
      <x:c r="M44" s="36" t="str">
        <x:v>否</x:v>
      </x:c>
      <x:c r="N44" s="36" t="n">
        <x:v>6</x:v>
      </x:c>
      <x:c r="O44" s="36"/>
      <x:c r="P44" s="36" t="n">
        <x:v>2015</x:v>
      </x:c>
    </x:row>
    <x:row r="45">
      <x:c r="A45" s="16" t="str">
        <x:v>WBF-041</x:v>
      </x:c>
      <x:c r="B45" s="16" t="str">
        <x:v>2015-08-20—2015-08-29</x:v>
      </x:c>
      <x:c r="C45" s="16" t="str">
        <x:v>奥帕蒂亚，克罗地亚</x:v>
      </x:c>
      <x:c r="D45" s="16" t="str">
        <x:v>第4届世界青年公开锦标赛</x:v>
      </x:c>
      <x:c r="E45" s="16" t="str">
        <x:v>U26 Women Teams / Girls Teams</x:v>
      </x:c>
      <x:c r="F45" s="17" t="n">
        <x:v>2</x:v>
      </x:c>
      <x:c r="G45" s="17" t="str">
        <x:v>银牌</x:v>
      </x:c>
      <x:c r="H45" s="16" t="str">
        <x:v>SX XHLD</x:v>
      </x:c>
      <x:c r="I45" s="16" t="str">
        <x:v>Yunpeng Chen；Chenyun Ge；Huiyuan Jin；Xinyao Ruan；Yue Yu；Aijia Yuan</x:v>
      </x:c>
      <x:c r="J45" s="16" t="str">
        <x:v>Yunpeng Chen [CHN]；Chenyun Ge [CHN]；Huiyuan Jin [CHN]；Xinyao Ruan [CHN]；Yue Yu [CHN]；Aijia Yuan [CHN]</x:v>
      </x:c>
      <x:c r="K45" s="16" t="str">
        <x:v>Captain: Weichang Qiu</x:v>
      </x:c>
      <x:c r="L45" s="16" t="str">
        <x:v>https://db.worldbridge.org/Repository/tourn/Opatija.15/Microsite/Results.htm</x:v>
      </x:c>
      <x:c r="M45" s="17" t="str">
        <x:v>否</x:v>
      </x:c>
      <x:c r="N45" s="17" t="n">
        <x:v>6</x:v>
      </x:c>
      <x:c r="O45" s="17"/>
      <x:c r="P45" s="17" t="n">
        <x:v>2015</x:v>
      </x:c>
    </x:row>
    <x:row r="46">
      <x:c r="A46" s="35" t="str">
        <x:v>WBF-042</x:v>
      </x:c>
      <x:c r="B46" s="35" t="str">
        <x:v>2015-08-20—2015-08-29</x:v>
      </x:c>
      <x:c r="C46" s="35" t="str">
        <x:v>奥帕蒂亚，克罗地亚</x:v>
      </x:c>
      <x:c r="D46" s="35" t="str">
        <x:v>第4届世界青年公开锦标赛</x:v>
      </x:c>
      <x:c r="E46" s="35" t="str">
        <x:v>U26 Women Teams / Girls Teams</x:v>
      </x:c>
      <x:c r="F46" s="36" t="n">
        <x:v>3</x:v>
      </x:c>
      <x:c r="G46" s="36" t="str">
        <x:v>铜牌</x:v>
      </x:c>
      <x:c r="H46" s="35" t="str">
        <x:v>CHINA RDFZ GIRLS</x:v>
      </x:c>
      <x:c r="I46" s="35" t="str">
        <x:v>Guangli Wendy Liu；Xinyi Luo；Lingyi Ma；Mengqi Hao；Ling Hu；Qi Xia</x:v>
      </x:c>
      <x:c r="J46" s="35" t="str">
        <x:v>Guangli Wendy Liu [CHN]；Xinyi Luo [CHN]；Lingyi Ma [CHN]；Mengqi Hao [CHN]；Ling Hu [CHN]；Qi Xia [CHN]</x:v>
      </x:c>
      <x:c r="K46" s="35" t="str">
        <x:v>Captain: Jichao Hu; Coach: Tong Jiang</x:v>
      </x:c>
      <x:c r="L46" s="35" t="str">
        <x:v>https://db.worldbridge.org/Repository/tourn/Opatija.15/Microsite/Results.htm</x:v>
      </x:c>
      <x:c r="M46" s="36" t="str">
        <x:v>否</x:v>
      </x:c>
      <x:c r="N46" s="36" t="n">
        <x:v>6</x:v>
      </x:c>
      <x:c r="O46" s="36"/>
      <x:c r="P46" s="36" t="n">
        <x:v>2015</x:v>
      </x:c>
    </x:row>
    <x:row r="47">
      <x:c r="A47" s="16" t="str">
        <x:v>WBF-043</x:v>
      </x:c>
      <x:c r="B47" s="16" t="str">
        <x:v>2016</x:v>
      </x:c>
      <x:c r="C47" s="16" t="str">
        <x:v>弗罗茨瓦夫，波兰</x:v>
      </x:c>
      <x:c r="D47" s="16" t="str">
        <x:v>世界桥牌运动会</x:v>
      </x:c>
      <x:c r="E47" s="16" t="str">
        <x:v>World National Women Pairs 女子国家双人</x:v>
      </x:c>
      <x:c r="F47" s="17" t="n">
        <x:v>3</x:v>
      </x:c>
      <x:c r="G47" s="17" t="str">
        <x:v>铜牌</x:v>
      </x:c>
      <x:c r="H47" s="16" t="str">
        <x:v>Ling Gu – Tao Zhou</x:v>
      </x:c>
      <x:c r="I47" s="16" t="str">
        <x:v>Ling Gu；Tao Zhou</x:v>
      </x:c>
      <x:c r="J47" s="16" t="str">
        <x:v>Ling Gu [CHN]；Tao Zhou [CHN]</x:v>
      </x:c>
      <x:c r="K47" s="16"/>
      <x:c r="L47" s="16" t="str">
        <x:v>https://www.wbfmasterpoints.com/Medalsreport.asp</x:v>
      </x:c>
      <x:c r="M47" s="17" t="str">
        <x:v>否</x:v>
      </x:c>
      <x:c r="N47" s="17" t="n">
        <x:v>2</x:v>
      </x:c>
      <x:c r="O47" s="17"/>
      <x:c r="P47" s="17" t="n">
        <x:v>2016</x:v>
      </x:c>
    </x:row>
    <x:row r="48">
      <x:c r="A48" s="35" t="str">
        <x:v>WBF-044</x:v>
      </x:c>
      <x:c r="B48" s="35" t="str">
        <x:v>2016</x:v>
      </x:c>
      <x:c r="C48" s="35" t="str">
        <x:v>弗罗茨瓦夫，波兰</x:v>
      </x:c>
      <x:c r="D48" s="35" t="str">
        <x:v>世界桥牌运动会</x:v>
      </x:c>
      <x:c r="E48" s="35" t="str">
        <x:v>World National Women Teams 女子国家团体</x:v>
      </x:c>
      <x:c r="F48" s="36" t="n">
        <x:v>3</x:v>
      </x:c>
      <x:c r="G48" s="36" t="str">
        <x:v>铜牌</x:v>
      </x:c>
      <x:c r="H48" s="35" t="str">
        <x:v>CHINA</x:v>
      </x:c>
      <x:c r="I48" s="35" t="str">
        <x:v>Qi Shen；Yan Huang；Yan Lu；Wen Fei Wang；Nan Wang；Yan Liu</x:v>
      </x:c>
      <x:c r="J48" s="35" t="str">
        <x:v>Qi Shen [CHN]；Yan Huang [CHN]；Yan Lu [CHN]；Wen Fei Wang [CHN]；Nan Wang [CHN]；Yan Liu [CHN]</x:v>
      </x:c>
      <x:c r="K48" s="35"/>
      <x:c r="L48" s="35" t="str">
        <x:v>https://www.wbfmasterpoints.com/Medalsreport.asp</x:v>
      </x:c>
      <x:c r="M48" s="36" t="str">
        <x:v>否</x:v>
      </x:c>
      <x:c r="N48" s="36" t="n">
        <x:v>6</x:v>
      </x:c>
      <x:c r="O48" s="36"/>
      <x:c r="P48" s="36" t="n">
        <x:v>2016</x:v>
      </x:c>
    </x:row>
    <x:row r="49">
      <x:c r="A49" s="16" t="str">
        <x:v>WBF-045</x:v>
      </x:c>
      <x:c r="B49" s="16" t="str">
        <x:v>2016-08-03—2016-08-13</x:v>
      </x:c>
      <x:c r="C49" s="16" t="str">
        <x:v>萨尔索马焦雷，意大利</x:v>
      </x:c>
      <x:c r="D49" s="16" t="str">
        <x:v>世界青年团体锦标赛</x:v>
      </x:c>
      <x:c r="E49" s="16" t="str">
        <x:v>U16 Teams</x:v>
      </x:c>
      <x:c r="F49" s="17" t="n">
        <x:v>2</x:v>
      </x:c>
      <x:c r="G49" s="17" t="str">
        <x:v>银牌</x:v>
      </x:c>
      <x:c r="H49" s="16" t="str">
        <x:v>CHINA2</x:v>
      </x:c>
      <x:c r="I49" s="16" t="str">
        <x:v>Cheng Deng；Yizhou Liu；Yunpeng Chen；Xinyao Ruan；Penghao Wang；Ruizhe Wang</x:v>
      </x:c>
      <x:c r="J49" s="16" t="str">
        <x:v>Cheng Deng [CHN]；Yizhou Liu [CHN]；Yunpeng Chen [CHN]；Xinyao Ruan [CHN]；Penghao Wang [CHN]；Ruizhe Wang [CHN]</x:v>
      </x:c>
      <x:c r="K49" s="16" t="str">
        <x:v>NPC: Xiaochen Kong; Coach: Liping Wang</x:v>
      </x:c>
      <x:c r="L49" s="16" t="str">
        <x:v>https://www.worldbridge.org/competitions/the-world-youth-team-championships/</x:v>
      </x:c>
      <x:c r="M49" s="17" t="str">
        <x:v>否</x:v>
      </x:c>
      <x:c r="N49" s="17" t="n">
        <x:v>6</x:v>
      </x:c>
      <x:c r="O49" s="17"/>
      <x:c r="P49" s="17" t="n">
        <x:v>2016</x:v>
      </x:c>
    </x:row>
    <x:row r="50">
      <x:c r="A50" s="35" t="str">
        <x:v>WBF-046</x:v>
      </x:c>
      <x:c r="B50" s="35" t="str">
        <x:v>2016-08-03—2016-08-13</x:v>
      </x:c>
      <x:c r="C50" s="35" t="str">
        <x:v>萨尔索马焦雷，意大利</x:v>
      </x:c>
      <x:c r="D50" s="35" t="str">
        <x:v>世界青年团体锦标赛</x:v>
      </x:c>
      <x:c r="E50" s="35" t="str">
        <x:v>U26 Teams</x:v>
      </x:c>
      <x:c r="F50" s="36" t="n">
        <x:v>2</x:v>
      </x:c>
      <x:c r="G50" s="36" t="str">
        <x:v>银牌</x:v>
      </x:c>
      <x:c r="H50" s="35" t="str">
        <x:v>CHINA</x:v>
      </x:c>
      <x:c r="I50" s="35" t="str">
        <x:v>Yanfeng Chen；Sili Liu；Shiyu Sun；Zhi Tang；Yong Tao；Hongji Wei</x:v>
      </x:c>
      <x:c r="J50" s="35" t="str">
        <x:v>Yanfeng Chen [CHN]；Sili Liu [CHN]；Shiyu Sun [CHN]；Zhi Tang [CHN]；Yong Tao [CHN]；Hongji Wei [CHN]</x:v>
      </x:c>
      <x:c r="K50" s="35" t="str">
        <x:v>NPC/Coach: Jun Ji</x:v>
      </x:c>
      <x:c r="L50" s="35" t="str">
        <x:v>https://www.worldbridge.org/competitions/the-world-youth-team-championships/</x:v>
      </x:c>
      <x:c r="M50" s="36" t="str">
        <x:v>否</x:v>
      </x:c>
      <x:c r="N50" s="36" t="n">
        <x:v>6</x:v>
      </x:c>
      <x:c r="O50" s="36"/>
      <x:c r="P50" s="36" t="n">
        <x:v>2016</x:v>
      </x:c>
    </x:row>
    <x:row r="51">
      <x:c r="A51" s="16" t="str">
        <x:v>WBF-047</x:v>
      </x:c>
      <x:c r="B51" s="16" t="str">
        <x:v>2017</x:v>
      </x:c>
      <x:c r="C51" s="16" t="str">
        <x:v>里昂，法国</x:v>
      </x:c>
      <x:c r="D51" s="16" t="str">
        <x:v>世界桥牌团体锦标赛</x:v>
      </x:c>
      <x:c r="E51" s="16" t="str">
        <x:v>Transnational Open Teams 跨国公开团体</x:v>
      </x:c>
      <x:c r="F51" s="17" t="n">
        <x:v>2</x:v>
      </x:c>
      <x:c r="G51" s="17" t="str">
        <x:v>银牌</x:v>
      </x:c>
      <x:c r="H51" s="16" t="str">
        <x:v>TRANSNATIONAL TEAM</x:v>
      </x:c>
      <x:c r="I51" s="16" t="str">
        <x:v>Chuan Cheng Ju；Zhengjun Shi；Tong Jiang；Xiaofeng Zhang</x:v>
      </x:c>
      <x:c r="J51" s="16" t="str">
        <x:v>Chuan Cheng Ju [CHN]；Zhengjun Shi [CHN]；Tong Jiang [CHN]；Xiaofeng Zhang [CHN]；Michal Nowosadzki [POL]；Jacek Kalita [POL]</x:v>
      </x:c>
      <x:c r="K51" s="16"/>
      <x:c r="L51" s="16" t="str">
        <x:v>https://www.wbfmasterpoints.com/Medalsreport.asp</x:v>
      </x:c>
      <x:c r="M51" s="17" t="str">
        <x:v>是</x:v>
      </x:c>
      <x:c r="N51" s="17" t="n">
        <x:v>4</x:v>
      </x:c>
      <x:c r="O51" s="17"/>
      <x:c r="P51" s="17" t="n">
        <x:v>2017</x:v>
      </x:c>
    </x:row>
    <x:row r="52">
      <x:c r="A52" s="35" t="str">
        <x:v>WBF-048</x:v>
      </x:c>
      <x:c r="B52" s="35" t="str">
        <x:v>2017</x:v>
      </x:c>
      <x:c r="C52" s="35" t="str">
        <x:v>里昂，法国</x:v>
      </x:c>
      <x:c r="D52" s="35" t="str">
        <x:v>世界桥牌团体锦标赛</x:v>
      </x:c>
      <x:c r="E52" s="35" t="str">
        <x:v>Venice Cup 女子团体</x:v>
      </x:c>
      <x:c r="F52" s="36" t="n">
        <x:v>1</x:v>
      </x:c>
      <x:c r="G52" s="36" t="str">
        <x:v>金牌</x:v>
      </x:c>
      <x:c r="H52" s="35" t="str">
        <x:v>CHINA</x:v>
      </x:c>
      <x:c r="I52" s="35" t="str">
        <x:v>Wen Fei Wang；Yan Lu；Qi Shen；Yan Huang；Yan Liu；Nan Wang</x:v>
      </x:c>
      <x:c r="J52" s="35" t="str">
        <x:v>Wen Fei Wang [CHN]；Yan Lu [CHN]；Qi Shen [CHN]；Yan Huang [CHN]；Yan Liu [CHN]；Nan Wang [CHN]</x:v>
      </x:c>
      <x:c r="K52" s="35"/>
      <x:c r="L52" s="35" t="str">
        <x:v>https://www.wbfmasterpoints.com/Medalsreport.asp</x:v>
      </x:c>
      <x:c r="M52" s="36" t="str">
        <x:v>否</x:v>
      </x:c>
      <x:c r="N52" s="36" t="n">
        <x:v>6</x:v>
      </x:c>
      <x:c r="O52" s="36"/>
      <x:c r="P52" s="36" t="n">
        <x:v>2017</x:v>
      </x:c>
    </x:row>
    <x:row r="53">
      <x:c r="A53" s="16" t="str">
        <x:v>WBF-049</x:v>
      </x:c>
      <x:c r="B53" s="16" t="str">
        <x:v>2017-08-15—2017-08-24</x:v>
      </x:c>
      <x:c r="C53" s="16" t="str">
        <x:v>里昂，法国</x:v>
      </x:c>
      <x:c r="D53" s="16" t="str">
        <x:v>第5届世界青年公开锦标赛</x:v>
      </x:c>
      <x:c r="E53" s="16" t="str">
        <x:v>U16 BAM</x:v>
      </x:c>
      <x:c r="F53" s="17" t="n">
        <x:v>1</x:v>
      </x:c>
      <x:c r="G53" s="17" t="str">
        <x:v>金牌</x:v>
      </x:c>
      <x:c r="H53" s="16" t="str">
        <x:v>SHENGXING VENUS</x:v>
      </x:c>
      <x:c r="I53" s="16" t="str">
        <x:v>Haochen Liu；Yizhou Liu；Mingyu Lu；Ruicheng Mao；Tianle Yao；Zhaochen Yu</x:v>
      </x:c>
      <x:c r="J53" s="16" t="str">
        <x:v>Haochen Liu [CHN]；Yizhou Liu [CHN]；Mingyu Lu [CHN]；Ruicheng Mao [CHN]；Tianle Yao [CHN]；Zhaochen Yu [CHN]</x:v>
      </x:c>
      <x:c r="K53" s="16" t="str">
        <x:v>Captain: Gongjun Liu</x:v>
      </x:c>
      <x:c r="L53" s="16" t="str">
        <x:v>https://www.worldbridge.org/competitions/the-world-youth-transnational-bridge-championships/</x:v>
      </x:c>
      <x:c r="M53" s="17" t="str">
        <x:v>否</x:v>
      </x:c>
      <x:c r="N53" s="17" t="n">
        <x:v>6</x:v>
      </x:c>
      <x:c r="O53" s="17"/>
      <x:c r="P53" s="17" t="n">
        <x:v>2017</x:v>
      </x:c>
    </x:row>
    <x:row r="54">
      <x:c r="A54" s="35" t="str">
        <x:v>WBF-050</x:v>
      </x:c>
      <x:c r="B54" s="35" t="str">
        <x:v>2017-08-15—2017-08-24</x:v>
      </x:c>
      <x:c r="C54" s="35" t="str">
        <x:v>里昂，法国</x:v>
      </x:c>
      <x:c r="D54" s="35" t="str">
        <x:v>第5届世界青年公开锦标赛</x:v>
      </x:c>
      <x:c r="E54" s="35" t="str">
        <x:v>U16 BAM</x:v>
      </x:c>
      <x:c r="F54" s="36" t="n">
        <x:v>3</x:v>
      </x:c>
      <x:c r="G54" s="36" t="str">
        <x:v>铜牌</x:v>
      </x:c>
      <x:c r="H54" s="35" t="str">
        <x:v>SHENGXING SATURN</x:v>
      </x:c>
      <x:c r="I54" s="35" t="str">
        <x:v>Licong Cheng；Penghao Wang；Ruizhe Wang；Yingqi Wang；Hao Xu；Jiahao Yang</x:v>
      </x:c>
      <x:c r="J54" s="35" t="str">
        <x:v>Licong Cheng [CHN]；Penghao Wang [CHN]；Ruizhe Wang [CHN]；Yingqi Wang [CHN]；Hao Xu [CHN]；Jiahao Yang [CHN]</x:v>
      </x:c>
      <x:c r="K54" s="35" t="str">
        <x:v>Captain: Qin Liu</x:v>
      </x:c>
      <x:c r="L54" s="35" t="str">
        <x:v>https://www.worldbridge.org/competitions/the-world-youth-transnational-bridge-championships/</x:v>
      </x:c>
      <x:c r="M54" s="36" t="str">
        <x:v>否</x:v>
      </x:c>
      <x:c r="N54" s="36" t="n">
        <x:v>6</x:v>
      </x:c>
      <x:c r="O54" s="36"/>
      <x:c r="P54" s="36" t="n">
        <x:v>2017</x:v>
      </x:c>
    </x:row>
    <x:row r="55">
      <x:c r="A55" s="16" t="str">
        <x:v>WBF-051</x:v>
      </x:c>
      <x:c r="B55" s="16" t="str">
        <x:v>2017-08-15—2017-08-24</x:v>
      </x:c>
      <x:c r="C55" s="16" t="str">
        <x:v>里昂，法国</x:v>
      </x:c>
      <x:c r="D55" s="16" t="str">
        <x:v>第5届世界青年公开锦标赛</x:v>
      </x:c>
      <x:c r="E55" s="16" t="str">
        <x:v>U16 Pairs / Kids Pairs</x:v>
      </x:c>
      <x:c r="F55" s="17" t="n">
        <x:v>1</x:v>
      </x:c>
      <x:c r="G55" s="17" t="str">
        <x:v>金牌</x:v>
      </x:c>
      <x:c r="H55" s="16" t="str">
        <x:v>Yizhou Liu – Mingyu Lu</x:v>
      </x:c>
      <x:c r="I55" s="16" t="str">
        <x:v>Yizhou Liu；Mingyu Lu</x:v>
      </x:c>
      <x:c r="J55" s="16" t="str">
        <x:v>Yizhou Liu [CHN]；Mingyu Lu [CHN]</x:v>
      </x:c>
      <x:c r="K55" s="16"/>
      <x:c r="L55" s="16" t="str">
        <x:v>https://db.worldbridge.org/repository/tourn/lyonyouth.17/microsite/Asp/TotalPairs.asp?qtournid=1457&amp;qroundno=3&amp;qgroupno=1</x:v>
      </x:c>
      <x:c r="M55" s="17" t="str">
        <x:v>否</x:v>
      </x:c>
      <x:c r="N55" s="17" t="n">
        <x:v>2</x:v>
      </x:c>
      <x:c r="O55" s="17"/>
      <x:c r="P55" s="17" t="n">
        <x:v>2017</x:v>
      </x:c>
    </x:row>
    <x:row r="56">
      <x:c r="A56" s="35" t="str">
        <x:v>WBF-052</x:v>
      </x:c>
      <x:c r="B56" s="35" t="str">
        <x:v>2017-08-15—2017-08-24</x:v>
      </x:c>
      <x:c r="C56" s="35" t="str">
        <x:v>里昂，法国</x:v>
      </x:c>
      <x:c r="D56" s="35" t="str">
        <x:v>第5届世界青年公开锦标赛</x:v>
      </x:c>
      <x:c r="E56" s="35" t="str">
        <x:v>U16 Pairs / Kids Pairs</x:v>
      </x:c>
      <x:c r="F56" s="36" t="n">
        <x:v>2</x:v>
      </x:c>
      <x:c r="G56" s="36" t="str">
        <x:v>银牌</x:v>
      </x:c>
      <x:c r="H56" s="35" t="str">
        <x:v>Ruicheng Mao – Zhaochen Yu</x:v>
      </x:c>
      <x:c r="I56" s="35" t="str">
        <x:v>Ruicheng Mao；Zhaochen Yu</x:v>
      </x:c>
      <x:c r="J56" s="35" t="str">
        <x:v>Ruicheng Mao [CHN]；Zhaochen Yu [CHN]</x:v>
      </x:c>
      <x:c r="K56" s="35"/>
      <x:c r="L56" s="35" t="str">
        <x:v>https://db.worldbridge.org/repository/tourn/lyonyouth.17/microsite/Asp/TotalPairs.asp?qtournid=1457&amp;qroundno=3&amp;qgroupno=1</x:v>
      </x:c>
      <x:c r="M56" s="36" t="str">
        <x:v>否</x:v>
      </x:c>
      <x:c r="N56" s="36" t="n">
        <x:v>2</x:v>
      </x:c>
      <x:c r="O56" s="36"/>
      <x:c r="P56" s="36" t="n">
        <x:v>2017</x:v>
      </x:c>
    </x:row>
    <x:row r="57">
      <x:c r="A57" s="16" t="str">
        <x:v>WBF-053</x:v>
      </x:c>
      <x:c r="B57" s="16" t="str">
        <x:v>2017-08-15—2017-08-24</x:v>
      </x:c>
      <x:c r="C57" s="16" t="str">
        <x:v>里昂，法国</x:v>
      </x:c>
      <x:c r="D57" s="16" t="str">
        <x:v>第5届世界青年公开锦标赛</x:v>
      </x:c>
      <x:c r="E57" s="16" t="str">
        <x:v>U16 Pairs / Kids Pairs</x:v>
      </x:c>
      <x:c r="F57" s="17" t="n">
        <x:v>3</x:v>
      </x:c>
      <x:c r="G57" s="17" t="str">
        <x:v>铜牌</x:v>
      </x:c>
      <x:c r="H57" s="16" t="str">
        <x:v>Licong Cheng – Penghao Wang</x:v>
      </x:c>
      <x:c r="I57" s="16" t="str">
        <x:v>Licong Cheng；Penghao Wang</x:v>
      </x:c>
      <x:c r="J57" s="16" t="str">
        <x:v>Licong Cheng [CHN]；Penghao Wang [CHN]</x:v>
      </x:c>
      <x:c r="K57" s="16"/>
      <x:c r="L57" s="16" t="str">
        <x:v>https://db.worldbridge.org/repository/tourn/lyonyouth.17/microsite/Asp/TotalPairs.asp?qtournid=1457&amp;qroundno=3&amp;qgroupno=1</x:v>
      </x:c>
      <x:c r="M57" s="17" t="str">
        <x:v>否</x:v>
      </x:c>
      <x:c r="N57" s="17" t="n">
        <x:v>2</x:v>
      </x:c>
      <x:c r="O57" s="17"/>
      <x:c r="P57" s="17" t="n">
        <x:v>2017</x:v>
      </x:c>
    </x:row>
    <x:row r="58">
      <x:c r="A58" s="35" t="str">
        <x:v>WBF-054</x:v>
      </x:c>
      <x:c r="B58" s="35" t="str">
        <x:v>2017-08-15—2017-08-24</x:v>
      </x:c>
      <x:c r="C58" s="35" t="str">
        <x:v>里昂，法国</x:v>
      </x:c>
      <x:c r="D58" s="35" t="str">
        <x:v>第5届世界青年公开锦标赛</x:v>
      </x:c>
      <x:c r="E58" s="35" t="str">
        <x:v>U16 Teams / Kids Teams</x:v>
      </x:c>
      <x:c r="F58" s="36" t="n">
        <x:v>1</x:v>
      </x:c>
      <x:c r="G58" s="36" t="str">
        <x:v>金牌</x:v>
      </x:c>
      <x:c r="H58" s="35" t="str">
        <x:v>CHINA RDFZ GALAXY</x:v>
      </x:c>
      <x:c r="I58" s="35" t="str">
        <x:v>Zhenhao Cai；Jingfan Chen；Yuanzhe Niu；Zhaofeng Wang；Boxin Zhang；Fangchen Zhao</x:v>
      </x:c>
      <x:c r="J58" s="35" t="str">
        <x:v>Zhenhao Cai [CHN]；Jingfan Chen [CHN]；Yuanzhe Niu [CHN]；Zhaofeng Wang [CHN]；Boxin Zhang [CHN]；Fangchen Zhao [CHN]</x:v>
      </x:c>
      <x:c r="K58" s="35" t="str">
        <x:v>Captain: Jichao Hu; Coach: Jie Li</x:v>
      </x:c>
      <x:c r="L58" s="35" t="str">
        <x:v>https://www.worldbridge.org/competitions/the-world-youth-transnational-bridge-championships/</x:v>
      </x:c>
      <x:c r="M58" s="36" t="str">
        <x:v>否</x:v>
      </x:c>
      <x:c r="N58" s="36" t="n">
        <x:v>6</x:v>
      </x:c>
      <x:c r="O58" s="36"/>
      <x:c r="P58" s="36" t="n">
        <x:v>2017</x:v>
      </x:c>
    </x:row>
    <x:row r="59">
      <x:c r="A59" s="16" t="str">
        <x:v>WBF-055</x:v>
      </x:c>
      <x:c r="B59" s="16" t="str">
        <x:v>2017-08-15—2017-08-24</x:v>
      </x:c>
      <x:c r="C59" s="16" t="str">
        <x:v>里昂，法国</x:v>
      </x:c>
      <x:c r="D59" s="16" t="str">
        <x:v>第5届世界青年公开锦标赛</x:v>
      </x:c>
      <x:c r="E59" s="16" t="str">
        <x:v>U16 Teams / Kids Teams</x:v>
      </x:c>
      <x:c r="F59" s="17" t="n">
        <x:v>2</x:v>
      </x:c>
      <x:c r="G59" s="17" t="str">
        <x:v>银牌</x:v>
      </x:c>
      <x:c r="H59" s="16" t="str">
        <x:v>SHENGXING VENUS</x:v>
      </x:c>
      <x:c r="I59" s="16" t="str">
        <x:v>Haochen Liu；Yizhou Liu；Mingyu Lu；Ruicheng Mao；Tianle Yao；Zhaochen Yu</x:v>
      </x:c>
      <x:c r="J59" s="16" t="str">
        <x:v>Haochen Liu [CHN]；Yizhou Liu [CHN]；Mingyu Lu [CHN]；Ruicheng Mao [CHN]；Tianle Yao [CHN]；Zhaochen Yu [CHN]</x:v>
      </x:c>
      <x:c r="K59" s="16" t="str">
        <x:v>Captain: Gongjun Liu</x:v>
      </x:c>
      <x:c r="L59" s="16" t="str">
        <x:v>https://www.worldbridge.org/competitions/the-world-youth-transnational-bridge-championships/</x:v>
      </x:c>
      <x:c r="M59" s="17" t="str">
        <x:v>否</x:v>
      </x:c>
      <x:c r="N59" s="17" t="n">
        <x:v>6</x:v>
      </x:c>
      <x:c r="O59" s="17"/>
      <x:c r="P59" s="17" t="n">
        <x:v>2017</x:v>
      </x:c>
    </x:row>
    <x:row r="60">
      <x:c r="A60" s="35" t="str">
        <x:v>WBF-056</x:v>
      </x:c>
      <x:c r="B60" s="35" t="str">
        <x:v>2017-08-15—2017-08-24</x:v>
      </x:c>
      <x:c r="C60" s="35" t="str">
        <x:v>里昂，法国</x:v>
      </x:c>
      <x:c r="D60" s="35" t="str">
        <x:v>第5届世界青年公开锦标赛</x:v>
      </x:c>
      <x:c r="E60" s="35" t="str">
        <x:v>U16 Teams / Kids Teams</x:v>
      </x:c>
      <x:c r="F60" s="36" t="n">
        <x:v>3</x:v>
      </x:c>
      <x:c r="G60" s="36" t="str">
        <x:v>铜牌</x:v>
      </x:c>
      <x:c r="H60" s="35" t="str">
        <x:v>SHENGXING SATURN</x:v>
      </x:c>
      <x:c r="I60" s="35" t="str">
        <x:v>Licong Cheng；Penghao Wang；Ruizhe Wang；Yingqi Wang；Hao Xu；Jiahao Yang</x:v>
      </x:c>
      <x:c r="J60" s="35" t="str">
        <x:v>Licong Cheng [CHN]；Penghao Wang [CHN]；Ruizhe Wang [CHN]；Yingqi Wang [CHN]；Hao Xu [CHN]；Jiahao Yang [CHN]</x:v>
      </x:c>
      <x:c r="K60" s="35" t="str">
        <x:v>Captain: Qin Liu</x:v>
      </x:c>
      <x:c r="L60" s="35" t="str">
        <x:v>https://www.worldbridge.org/competitions/the-world-youth-transnational-bridge-championships/</x:v>
      </x:c>
      <x:c r="M60" s="36" t="str">
        <x:v>否</x:v>
      </x:c>
      <x:c r="N60" s="36" t="n">
        <x:v>6</x:v>
      </x:c>
      <x:c r="O60" s="36"/>
      <x:c r="P60" s="36" t="n">
        <x:v>2017</x:v>
      </x:c>
    </x:row>
    <x:row r="61">
      <x:c r="A61" s="16" t="str">
        <x:v>WBF-057</x:v>
      </x:c>
      <x:c r="B61" s="16" t="str">
        <x:v>2017-08-15—2017-08-24</x:v>
      </x:c>
      <x:c r="C61" s="16" t="str">
        <x:v>里昂，法国</x:v>
      </x:c>
      <x:c r="D61" s="16" t="str">
        <x:v>第5届世界青年公开锦标赛</x:v>
      </x:c>
      <x:c r="E61" s="16" t="str">
        <x:v>U21 Pairs / Youngsters Pairs</x:v>
      </x:c>
      <x:c r="F61" s="17" t="n">
        <x:v>1</x:v>
      </x:c>
      <x:c r="G61" s="17" t="str">
        <x:v>金牌</x:v>
      </x:c>
      <x:c r="H61" s="16" t="str">
        <x:v>Cheng Deng – Zhijie Yuan</x:v>
      </x:c>
      <x:c r="I61" s="16" t="str">
        <x:v>Cheng Deng；Zhijie Yuan</x:v>
      </x:c>
      <x:c r="J61" s="16" t="str">
        <x:v>Cheng Deng [CHN]；Zhijie Yuan [CHN]</x:v>
      </x:c>
      <x:c r="K61" s="16"/>
      <x:c r="L61" s="16" t="str">
        <x:v>https://db.worldbridge.org/repository/tourn/lyonyouth.17/microsite/Asp/TotalPairs.asp?qtournid=1455&amp;qroundno=3&amp;qgroupno=1</x:v>
      </x:c>
      <x:c r="M61" s="17" t="str">
        <x:v>否</x:v>
      </x:c>
      <x:c r="N61" s="17" t="n">
        <x:v>2</x:v>
      </x:c>
      <x:c r="O61" s="17"/>
      <x:c r="P61" s="17" t="n">
        <x:v>2017</x:v>
      </x:c>
    </x:row>
    <x:row r="62">
      <x:c r="A62" s="35" t="str">
        <x:v>WBF-058</x:v>
      </x:c>
      <x:c r="B62" s="35" t="str">
        <x:v>2017-08-15—2017-08-24</x:v>
      </x:c>
      <x:c r="C62" s="35" t="str">
        <x:v>里昂，法国</x:v>
      </x:c>
      <x:c r="D62" s="35" t="str">
        <x:v>第5届世界青年公开锦标赛</x:v>
      </x:c>
      <x:c r="E62" s="35" t="str">
        <x:v>U21 Teams / Youngsters Teams</x:v>
      </x:c>
      <x:c r="F62" s="36" t="n">
        <x:v>2</x:v>
      </x:c>
      <x:c r="G62" s="36" t="str">
        <x:v>银牌</x:v>
      </x:c>
      <x:c r="H62" s="35" t="str">
        <x:v>SHENGXING TEAM</x:v>
      </x:c>
      <x:c r="I62" s="35" t="str">
        <x:v>Cheng Deng；Yihong Liu；Jiaxin Tong；Zhijie Yuan；Yu Yun；Tiancheng Zhang</x:v>
      </x:c>
      <x:c r="J62" s="35" t="str">
        <x:v>Cheng Deng [CHN]；Yihong Liu [CHN]；Jiaxin Tong [CHN]；Zhijie Yuan [CHN]；Yu Yun [CHN]；Tiancheng Zhang [CHN]</x:v>
      </x:c>
      <x:c r="K62" s="35" t="str">
        <x:v>NPC: Qi Zeng</x:v>
      </x:c>
      <x:c r="L62" s="35" t="str">
        <x:v>https://db.worldbridge.org/repository/tourn/lyonyouth.17/microsite/results.htm</x:v>
      </x:c>
      <x:c r="M62" s="36" t="str">
        <x:v>否</x:v>
      </x:c>
      <x:c r="N62" s="36" t="n">
        <x:v>6</x:v>
      </x:c>
      <x:c r="O62" s="36"/>
      <x:c r="P62" s="36" t="n">
        <x:v>2017</x:v>
      </x:c>
    </x:row>
    <x:row r="63">
      <x:c r="A63" s="16" t="str">
        <x:v>WBF-059</x:v>
      </x:c>
      <x:c r="B63" s="16" t="str">
        <x:v>2017-08-15—2017-08-24</x:v>
      </x:c>
      <x:c r="C63" s="16" t="str">
        <x:v>里昂，法国</x:v>
      </x:c>
      <x:c r="D63" s="16" t="str">
        <x:v>第5届世界青年公开锦标赛</x:v>
      </x:c>
      <x:c r="E63" s="16" t="str">
        <x:v>U21 Teams / Youngsters Teams</x:v>
      </x:c>
      <x:c r="F63" s="17" t="n">
        <x:v>3</x:v>
      </x:c>
      <x:c r="G63" s="17" t="str">
        <x:v>铜牌</x:v>
      </x:c>
      <x:c r="H63" s="16" t="str">
        <x:v>CHINA</x:v>
      </x:c>
      <x:c r="I63" s="16" t="str">
        <x:v>Zhiyu Cheng；Baozhuo Jiang；Randy Pan；Shi Qiu；Xihao Wang；Haoqing Yu</x:v>
      </x:c>
      <x:c r="J63" s="16" t="str">
        <x:v>Zhiyu Cheng [CHN]；Baozhuo Jiang [CHN]；Randy Pan [CHN]；Shi Qiu [CHN]；Xihao Wang [CHN]；Haoqing Yu [CHN]</x:v>
      </x:c>
      <x:c r="K63" s="16" t="str">
        <x:v>NPC: Jichao Hu; Coach: Bing Du</x:v>
      </x:c>
      <x:c r="L63" s="16" t="str">
        <x:v>https://db.worldbridge.org/repository/tourn/lyonyouth.17/microsite/results.htm</x:v>
      </x:c>
      <x:c r="M63" s="17" t="str">
        <x:v>否</x:v>
      </x:c>
      <x:c r="N63" s="17" t="n">
        <x:v>6</x:v>
      </x:c>
      <x:c r="O63" s="17"/>
      <x:c r="P63" s="17" t="n">
        <x:v>2017</x:v>
      </x:c>
    </x:row>
    <x:row r="64">
      <x:c r="A64" s="35" t="str">
        <x:v>WBF-060</x:v>
      </x:c>
      <x:c r="B64" s="35" t="str">
        <x:v>2017-08-15—2017-08-24</x:v>
      </x:c>
      <x:c r="C64" s="35" t="str">
        <x:v>里昂，法国</x:v>
      </x:c>
      <x:c r="D64" s="35" t="str">
        <x:v>第5届世界青年公开锦标赛</x:v>
      </x:c>
      <x:c r="E64" s="35" t="str">
        <x:v>U26 Women Pairs / Girls Pairs</x:v>
      </x:c>
      <x:c r="F64" s="36" t="n">
        <x:v>2</x:v>
      </x:c>
      <x:c r="G64" s="36" t="str">
        <x:v>银牌</x:v>
      </x:c>
      <x:c r="H64" s="35" t="str">
        <x:v>Yunpeng Chen – Jiaming Xu</x:v>
      </x:c>
      <x:c r="I64" s="35" t="str">
        <x:v>Yunpeng Chen；Jiaming Xu</x:v>
      </x:c>
      <x:c r="J64" s="35" t="str">
        <x:v>Yunpeng Chen [CHN]；Jiaming Xu [CHN]</x:v>
      </x:c>
      <x:c r="K64" s="35"/>
      <x:c r="L64" s="35" t="str">
        <x:v>https://db.worldbridge.org/repository/tourn/lyonyouth.17/microsite/Asp/TotalPairs.asp?qtournid=1456&amp;qroundno=3&amp;qgroupno=1</x:v>
      </x:c>
      <x:c r="M64" s="36" t="str">
        <x:v>否</x:v>
      </x:c>
      <x:c r="N64" s="36" t="n">
        <x:v>2</x:v>
      </x:c>
      <x:c r="O64" s="36"/>
      <x:c r="P64" s="36" t="n">
        <x:v>2017</x:v>
      </x:c>
    </x:row>
    <x:row r="65">
      <x:c r="A65" s="16" t="str">
        <x:v>WBF-061</x:v>
      </x:c>
      <x:c r="B65" s="16" t="str">
        <x:v>2017-08-15—2017-08-24</x:v>
      </x:c>
      <x:c r="C65" s="16" t="str">
        <x:v>里昂，法国</x:v>
      </x:c>
      <x:c r="D65" s="16" t="str">
        <x:v>第5届世界青年公开锦标赛</x:v>
      </x:c>
      <x:c r="E65" s="16" t="str">
        <x:v>U26 Women Pairs / Girls Pairs</x:v>
      </x:c>
      <x:c r="F65" s="17" t="n">
        <x:v>3</x:v>
      </x:c>
      <x:c r="G65" s="17" t="str">
        <x:v>铜牌</x:v>
      </x:c>
      <x:c r="H65" s="16" t="str">
        <x:v>Xinyao Ruan – Yajie Lu</x:v>
      </x:c>
      <x:c r="I65" s="16" t="str">
        <x:v>Xinyao Ruan；Yajie Lu</x:v>
      </x:c>
      <x:c r="J65" s="16" t="str">
        <x:v>Xinyao Ruan [CHN]；Yajie Lu [CHN]</x:v>
      </x:c>
      <x:c r="K65" s="16"/>
      <x:c r="L65" s="16" t="str">
        <x:v>https://db.worldbridge.org/repository/tourn/lyonyouth.17/microsite/Asp/TotalPairs.asp?qtournid=1456&amp;qroundno=3&amp;qgroupno=1</x:v>
      </x:c>
      <x:c r="M65" s="17" t="str">
        <x:v>否</x:v>
      </x:c>
      <x:c r="N65" s="17" t="n">
        <x:v>2</x:v>
      </x:c>
      <x:c r="O65" s="17"/>
      <x:c r="P65" s="17" t="n">
        <x:v>2017</x:v>
      </x:c>
    </x:row>
    <x:row r="66">
      <x:c r="A66" s="35" t="str">
        <x:v>WBF-062</x:v>
      </x:c>
      <x:c r="B66" s="35" t="str">
        <x:v>2017-08-15—2017-08-24</x:v>
      </x:c>
      <x:c r="C66" s="35" t="str">
        <x:v>里昂，法国</x:v>
      </x:c>
      <x:c r="D66" s="35" t="str">
        <x:v>第5届世界青年公开锦标赛</x:v>
      </x:c>
      <x:c r="E66" s="35" t="str">
        <x:v>U26 Women Teams / Girls Teams</x:v>
      </x:c>
      <x:c r="F66" s="36" t="n">
        <x:v>1</x:v>
      </x:c>
      <x:c r="G66" s="36" t="str">
        <x:v>金牌</x:v>
      </x:c>
      <x:c r="H66" s="35" t="str">
        <x:v>SHENGXING TEAM 1</x:v>
      </x:c>
      <x:c r="I66" s="35" t="str">
        <x:v>Yunpeng Chen；Chenyun Ge；Yajie Lu；Yijia Lu；Xinyao Ruan；Jiaming Xu</x:v>
      </x:c>
      <x:c r="J66" s="35" t="str">
        <x:v>Yunpeng Chen [CHN]；Chenyun Ge [CHN]；Yajie Lu [CHN]；Yijia Lu [CHN]；Xinyao Ruan [CHN]；Jiaming Xu [CHN]</x:v>
      </x:c>
      <x:c r="K66" s="35" t="str">
        <x:v>NPC: Xiaochen Kong</x:v>
      </x:c>
      <x:c r="L66" s="35" t="str">
        <x:v>https://db.worldbridge.org/repository/tourn/lyonyouth.17/microsite/Asp/knockoutphase.asp?qtournid=1460&amp;qphase=FF</x:v>
      </x:c>
      <x:c r="M66" s="36" t="str">
        <x:v>否</x:v>
      </x:c>
      <x:c r="N66" s="36" t="n">
        <x:v>6</x:v>
      </x:c>
      <x:c r="O66" s="36"/>
      <x:c r="P66" s="36" t="n">
        <x:v>2017</x:v>
      </x:c>
    </x:row>
    <x:row r="67">
      <x:c r="A67" s="16" t="str">
        <x:v>WBF-063</x:v>
      </x:c>
      <x:c r="B67" s="16" t="str">
        <x:v>2017-08-15—2017-08-24</x:v>
      </x:c>
      <x:c r="C67" s="16" t="str">
        <x:v>里昂，法国</x:v>
      </x:c>
      <x:c r="D67" s="16" t="str">
        <x:v>第5届世界青年公开锦标赛</x:v>
      </x:c>
      <x:c r="E67" s="16" t="str">
        <x:v>U26 Women Teams / Girls Teams</x:v>
      </x:c>
      <x:c r="F67" s="17" t="n">
        <x:v>3</x:v>
      </x:c>
      <x:c r="G67" s="17" t="str">
        <x:v>铜牌</x:v>
      </x:c>
      <x:c r="H67" s="16" t="str">
        <x:v>SH XIN JIANGNAN TEAM</x:v>
      </x:c>
      <x:c r="I67" s="16" t="str">
        <x:v>Yueling Gu；Shiyi Li；Shiyun Mao；Yanting Mao；Yici Wang；Xiaotong Wu</x:v>
      </x:c>
      <x:c r="J67" s="16" t="str">
        <x:v>Yueling Gu [CHN]；Shiyi Li [CHN]；Shiyun Mao [CHN]；Yanting Mao [CHN]；Yici Wang [CHN]；Xiaotong Wu [CHN]</x:v>
      </x:c>
      <x:c r="K67" s="16" t="str">
        <x:v>NPC: Yi Xing Lv</x:v>
      </x:c>
      <x:c r="L67" s="16" t="str">
        <x:v>https://db.worldbridge.org/repository/tourn/lyonyouth.17/microsite/Asp/knockoutphase.asp?qtournid=1460&amp;qphase=FF</x:v>
      </x:c>
      <x:c r="M67" s="17" t="str">
        <x:v>否</x:v>
      </x:c>
      <x:c r="N67" s="17" t="n">
        <x:v>6</x:v>
      </x:c>
      <x:c r="O67" s="17"/>
      <x:c r="P67" s="17" t="n">
        <x:v>2017</x:v>
      </x:c>
    </x:row>
    <x:row r="68">
      <x:c r="A68" s="35" t="str">
        <x:v>WBF-064</x:v>
      </x:c>
      <x:c r="B68" s="35" t="str">
        <x:v>2018</x:v>
      </x:c>
      <x:c r="C68" s="35" t="str">
        <x:v>奥兰多，美国</x:v>
      </x:c>
      <x:c r="D68" s="35" t="str">
        <x:v>世界桥牌综合锦标赛</x:v>
      </x:c>
      <x:c r="E68" s="35" t="str">
        <x:v>Women Pairs 女子双人</x:v>
      </x:c>
      <x:c r="F68" s="36" t="n">
        <x:v>3</x:v>
      </x:c>
      <x:c r="G68" s="36" t="str">
        <x:v>铜牌</x:v>
      </x:c>
      <x:c r="H68" s="35" t="str">
        <x:v>Yan Huang – Nan Wang</x:v>
      </x:c>
      <x:c r="I68" s="35" t="str">
        <x:v>Yan Huang；Nan Wang</x:v>
      </x:c>
      <x:c r="J68" s="35" t="str">
        <x:v>Yan Huang [CHN]；Nan Wang [CHN]</x:v>
      </x:c>
      <x:c r="K68" s="35"/>
      <x:c r="L68" s="35" t="str">
        <x:v>https://www.wbfmasterpoints.com/Medalsreport.asp</x:v>
      </x:c>
      <x:c r="M68" s="36" t="str">
        <x:v>否</x:v>
      </x:c>
      <x:c r="N68" s="36" t="n">
        <x:v>2</x:v>
      </x:c>
      <x:c r="O68" s="36"/>
      <x:c r="P68" s="36" t="n">
        <x:v>2018</x:v>
      </x:c>
    </x:row>
    <x:row r="69">
      <x:c r="A69" s="16" t="str">
        <x:v>WBF-065</x:v>
      </x:c>
      <x:c r="B69" s="16" t="str">
        <x:v>2018</x:v>
      </x:c>
      <x:c r="C69" s="16" t="str">
        <x:v>奥兰多，美国</x:v>
      </x:c>
      <x:c r="D69" s="16" t="str">
        <x:v>世界桥牌综合锦标赛</x:v>
      </x:c>
      <x:c r="E69" s="16" t="str">
        <x:v>World Senior Teams 老年团体</x:v>
      </x:c>
      <x:c r="F69" s="17" t="n">
        <x:v>2</x:v>
      </x:c>
      <x:c r="G69" s="17" t="str">
        <x:v>银牌</x:v>
      </x:c>
      <x:c r="H69" s="16" t="str">
        <x:v>CHINA</x:v>
      </x:c>
      <x:c r="I69" s="16" t="str">
        <x:v>Ming Sun；Rongqiang Lin；Xiaonong Shen；Mingkun Shen；Jian Hua Tao</x:v>
      </x:c>
      <x:c r="J69" s="16" t="str">
        <x:v>Ming Sun [CHN]；Rongqiang Lin [CHN]；Xiaonong Shen [CHN]；Mingkun Shen [CHN]；Jian Hua Tao [CHN]</x:v>
      </x:c>
      <x:c r="K69" s="16"/>
      <x:c r="L69" s="16" t="str">
        <x:v>https://www.wbfmasterpoints.com/Medalsreport.asp</x:v>
      </x:c>
      <x:c r="M69" s="17" t="str">
        <x:v>否</x:v>
      </x:c>
      <x:c r="N69" s="17" t="n">
        <x:v>5</x:v>
      </x:c>
      <x:c r="O69" s="17"/>
      <x:c r="P69" s="17" t="n">
        <x:v>2018</x:v>
      </x:c>
    </x:row>
    <x:row r="70">
      <x:c r="A70" s="35" t="str">
        <x:v>WBF-066</x:v>
      </x:c>
      <x:c r="B70" s="35" t="str">
        <x:v>2018-08-08—2018-08-18</x:v>
      </x:c>
      <x:c r="C70" s="35" t="str">
        <x:v>吴江，中国</x:v>
      </x:c>
      <x:c r="D70" s="35" t="str">
        <x:v>世界青年团体锦标赛</x:v>
      </x:c>
      <x:c r="E70" s="35" t="str">
        <x:v>U16 Teams</x:v>
      </x:c>
      <x:c r="F70" s="36" t="n">
        <x:v>1</x:v>
      </x:c>
      <x:c r="G70" s="36" t="str">
        <x:v>金牌</x:v>
      </x:c>
      <x:c r="H70" s="35" t="str">
        <x:v>CHINA3</x:v>
      </x:c>
      <x:c r="I70" s="35" t="str">
        <x:v>Tie Chen；Zanchao Cui；Xihong Dai；Sicheng Liu；Yiping Lu；Zichen Wang</x:v>
      </x:c>
      <x:c r="J70" s="35" t="str">
        <x:v>Tie Chen [CHN]；Zanchao Cui [CHN]；Xihong Dai [CHN]；Sicheng Liu [CHN]；Yiping Lu [CHN]；Zichen Wang [CHN]</x:v>
      </x:c>
      <x:c r="K70" s="35" t="str">
        <x:v>NPC: Guoqiang Chen; Coach: Feng Qu</x:v>
      </x:c>
      <x:c r="L70" s="35" t="str">
        <x:v>https://www.worldbridge.org/competitions/the-world-youth-team-championships/</x:v>
      </x:c>
      <x:c r="M70" s="36" t="str">
        <x:v>否</x:v>
      </x:c>
      <x:c r="N70" s="36" t="n">
        <x:v>6</x:v>
      </x:c>
      <x:c r="O70" s="36"/>
      <x:c r="P70" s="36" t="n">
        <x:v>2018</x:v>
      </x:c>
    </x:row>
    <x:row r="71">
      <x:c r="A71" s="16" t="str">
        <x:v>WBF-067</x:v>
      </x:c>
      <x:c r="B71" s="16" t="str">
        <x:v>2018-08-08—2018-08-18</x:v>
      </x:c>
      <x:c r="C71" s="16" t="str">
        <x:v>吴江，中国</x:v>
      </x:c>
      <x:c r="D71" s="16" t="str">
        <x:v>世界青年团体锦标赛</x:v>
      </x:c>
      <x:c r="E71" s="16" t="str">
        <x:v>U26 Women Teams</x:v>
      </x:c>
      <x:c r="F71" s="17" t="n">
        <x:v>1</x:v>
      </x:c>
      <x:c r="G71" s="17" t="str">
        <x:v>金牌</x:v>
      </x:c>
      <x:c r="H71" s="16" t="str">
        <x:v>CHINA</x:v>
      </x:c>
      <x:c r="I71" s="16" t="str">
        <x:v>Yijing Cai；Bo Fu；Chengke Hu；Xinyi Li；Xinyi Ni；Yang Yang</x:v>
      </x:c>
      <x:c r="J71" s="16" t="str">
        <x:v>Yijing Cai [CHN]；Bo Fu [CHN]；Chengke Hu [CHN]；Xinyi Li [CHN]；Xinyi Ni [CHN]；Yang Yang [CHN]</x:v>
      </x:c>
      <x:c r="K71" s="16" t="str">
        <x:v>NPC: Guoqiang Zhang; Coach: Bing Zhao</x:v>
      </x:c>
      <x:c r="L71" s="16" t="str">
        <x:v>https://www.worldbridge.org/competitions/the-world-youth-team-championships/</x:v>
      </x:c>
      <x:c r="M71" s="17" t="str">
        <x:v>否</x:v>
      </x:c>
      <x:c r="N71" s="17" t="n">
        <x:v>6</x:v>
      </x:c>
      <x:c r="O71" s="17"/>
      <x:c r="P71" s="17" t="n">
        <x:v>2018</x:v>
      </x:c>
    </x:row>
    <x:row r="72">
      <x:c r="A72" s="35" t="str">
        <x:v>WBF-068</x:v>
      </x:c>
      <x:c r="B72" s="35" t="str">
        <x:v>2018-08-08—2018-08-18</x:v>
      </x:c>
      <x:c r="C72" s="35" t="str">
        <x:v>吴江，中国</x:v>
      </x:c>
      <x:c r="D72" s="35" t="str">
        <x:v>世界青年团体锦标赛</x:v>
      </x:c>
      <x:c r="E72" s="35" t="str">
        <x:v>Youth BAM</x:v>
      </x:c>
      <x:c r="F72" s="36" t="n">
        <x:v>2</x:v>
      </x:c>
      <x:c r="G72" s="36" t="str">
        <x:v>银牌</x:v>
      </x:c>
      <x:c r="H72" s="35" t="str">
        <x:v>CHINA YOUNGSTERS</x:v>
      </x:c>
      <x:c r="I72" s="35" t="str">
        <x:v>Zhiyu Cheng；Baozhuo Jiang；Yufan Liao；Randy Pan；Qian Sun；Xihao Wang</x:v>
      </x:c>
      <x:c r="J72" s="35" t="str">
        <x:v>Zhiyu Cheng [CHN]；Baozhuo Jiang [CHN]；Yufan Liao [CHN]；Randy Pan [CHN]；Qian Sun [CHN]；Xihao Wang [CHN]</x:v>
      </x:c>
      <x:c r="K72" s="35"/>
      <x:c r="L72" s="35" t="str">
        <x:v>https://www.worldbridge.org/competitions/the-world-youth-team-championships/</x:v>
      </x:c>
      <x:c r="M72" s="36" t="str">
        <x:v>否</x:v>
      </x:c>
      <x:c r="N72" s="36" t="n">
        <x:v>6</x:v>
      </x:c>
      <x:c r="O72" s="36"/>
      <x:c r="P72" s="36" t="n">
        <x:v>2018</x:v>
      </x:c>
    </x:row>
    <x:row r="73">
      <x:c r="A73" s="16" t="str">
        <x:v>WBF-069</x:v>
      </x:c>
      <x:c r="B73" s="16" t="str">
        <x:v>2019-08-20—2019-08-29</x:v>
      </x:c>
      <x:c r="C73" s="16" t="str">
        <x:v>奥帕蒂亚，克罗地亚</x:v>
      </x:c>
      <x:c r="D73" s="16" t="str">
        <x:v>第6届世界青年公开锦标赛</x:v>
      </x:c>
      <x:c r="E73" s="16" t="str">
        <x:v>U16 Teams</x:v>
      </x:c>
      <x:c r="F73" s="17" t="n">
        <x:v>1</x:v>
      </x:c>
      <x:c r="G73" s="17" t="str">
        <x:v>金牌</x:v>
      </x:c>
      <x:c r="H73" s="16" t="str">
        <x:v>SXMARS</x:v>
      </x:c>
      <x:c r="I73" s="16" t="str">
        <x:v>Yanzhuo Fu；Zhuxiongjie Gao；Ningyu Lang；Haotian Shen；Zicheng Wang；Fanfei Yu</x:v>
      </x:c>
      <x:c r="J73" s="16" t="str">
        <x:v>Yanzhuo Fu [CHN]；Zhuxiongjie Gao [CHN]；Ningyu Lang [CHN]；Haotian Shen [CHN]；Zicheng Wang [CHN]；Fanfei Yu [CHN]</x:v>
      </x:c>
      <x:c r="K73" s="16" t="str">
        <x:v>Captain: Wei Yang; Coach: Yihong Liu</x:v>
      </x:c>
      <x:c r="L73" s="16" t="str">
        <x:v>https://www.worldbridge.org/2019/08/6th-world-youth-open-championships-the-teams-and-bam-winners/</x:v>
      </x:c>
      <x:c r="M73" s="17" t="str">
        <x:v>否</x:v>
      </x:c>
      <x:c r="N73" s="17" t="n">
        <x:v>6</x:v>
      </x:c>
      <x:c r="O73" s="17"/>
      <x:c r="P73" s="17" t="n">
        <x:v>2019</x:v>
      </x:c>
    </x:row>
    <x:row r="74">
      <x:c r="A74" s="35" t="str">
        <x:v>WBF-070</x:v>
      </x:c>
      <x:c r="B74" s="35" t="str">
        <x:v>2019-08-20—2019-08-29</x:v>
      </x:c>
      <x:c r="C74" s="35" t="str">
        <x:v>奥帕蒂亚，克罗地亚</x:v>
      </x:c>
      <x:c r="D74" s="35" t="str">
        <x:v>第6届世界青年公开锦标赛</x:v>
      </x:c>
      <x:c r="E74" s="35" t="str">
        <x:v>U16 Teams</x:v>
      </x:c>
      <x:c r="F74" s="36" t="n">
        <x:v>3</x:v>
      </x:c>
      <x:c r="G74" s="36" t="str">
        <x:v>铜牌</x:v>
      </x:c>
      <x:c r="H74" s="35" t="str">
        <x:v>SXSATURN</x:v>
      </x:c>
      <x:c r="I74" s="35" t="str">
        <x:v>Suhang Li；Zhenyue Lu；Tengbo Tang；Zhixian Tian；Yijun Wu；Xuyang Zhang</x:v>
      </x:c>
      <x:c r="J74" s="35" t="str">
        <x:v>Suhang Li [CHN]；Zhenyue Lu [CHN]；Tengbo Tang [CHN]；Zhixian Tian [CHN]；Yijun Wu [CHN]；Xuyang Zhang [CHN]</x:v>
      </x:c>
      <x:c r="K74" s="35" t="str">
        <x:v>Captain: Hongfeng Zhu; Coach: Zhijie Yuan</x:v>
      </x:c>
      <x:c r="L74" s="35" t="str">
        <x:v>https://www.worldbridge.org/2019/08/6th-world-youth-open-championships-the-teams-and-bam-winners/</x:v>
      </x:c>
      <x:c r="M74" s="36" t="str">
        <x:v>否</x:v>
      </x:c>
      <x:c r="N74" s="36" t="n">
        <x:v>6</x:v>
      </x:c>
      <x:c r="O74" s="36"/>
      <x:c r="P74" s="36" t="n">
        <x:v>2019</x:v>
      </x:c>
    </x:row>
    <x:row r="75">
      <x:c r="A75" s="16" t="str">
        <x:v>WBF-071</x:v>
      </x:c>
      <x:c r="B75" s="16" t="str">
        <x:v>2019-08-20—2019-08-29</x:v>
      </x:c>
      <x:c r="C75" s="16" t="str">
        <x:v>奥帕蒂亚，克罗地亚</x:v>
      </x:c>
      <x:c r="D75" s="16" t="str">
        <x:v>第6届世界青年公开锦标赛</x:v>
      </x:c>
      <x:c r="E75" s="16" t="str">
        <x:v>U26 Pairs</x:v>
      </x:c>
      <x:c r="F75" s="17" t="n">
        <x:v>3</x:v>
      </x:c>
      <x:c r="G75" s="17" t="str">
        <x:v>铜牌</x:v>
      </x:c>
      <x:c r="H75" s="16" t="str">
        <x:v>Hongji Wei – Shiyu Sun</x:v>
      </x:c>
      <x:c r="I75" s="16" t="str">
        <x:v>Hongji Wei；Shiyu Sun</x:v>
      </x:c>
      <x:c r="J75" s="16" t="str">
        <x:v>Hongji Wei [CHN]；Shiyu Sun [CHN]</x:v>
      </x:c>
      <x:c r="K75" s="16"/>
      <x:c r="L75" s="16" t="str">
        <x:v>https://www.worldbridge.org/2019/08/6th-world-youth-open-championships-the-pairs-winners/</x:v>
      </x:c>
      <x:c r="M75" s="17" t="str">
        <x:v>否</x:v>
      </x:c>
      <x:c r="N75" s="17" t="n">
        <x:v>2</x:v>
      </x:c>
      <x:c r="O75" s="17"/>
      <x:c r="P75" s="17" t="n">
        <x:v>2019</x:v>
      </x:c>
    </x:row>
    <x:row r="76">
      <x:c r="A76" s="35" t="str">
        <x:v>WBF-072</x:v>
      </x:c>
      <x:c r="B76" s="35" t="str">
        <x:v>2019-08-20—2019-08-29</x:v>
      </x:c>
      <x:c r="C76" s="35" t="str">
        <x:v>奥帕蒂亚，克罗地亚</x:v>
      </x:c>
      <x:c r="D76" s="35" t="str">
        <x:v>第6届世界青年公开锦标赛</x:v>
      </x:c>
      <x:c r="E76" s="35" t="str">
        <x:v>U26 Women Pairs</x:v>
      </x:c>
      <x:c r="F76" s="36" t="n">
        <x:v>3</x:v>
      </x:c>
      <x:c r="G76" s="36" t="str">
        <x:v>铜牌</x:v>
      </x:c>
      <x:c r="H76" s="35" t="str">
        <x:v>Yijia Lu – Chenyun Ge</x:v>
      </x:c>
      <x:c r="I76" s="35" t="str">
        <x:v>Yijia Lu；Chenyun Ge</x:v>
      </x:c>
      <x:c r="J76" s="35" t="str">
        <x:v>Yijia Lu [CHN]；Chenyun Ge [CHN]</x:v>
      </x:c>
      <x:c r="K76" s="35"/>
      <x:c r="L76" s="35" t="str">
        <x:v>https://www.worldbridge.org/2019/08/6th-world-youth-open-championships-the-pairs-winners/</x:v>
      </x:c>
      <x:c r="M76" s="36" t="str">
        <x:v>否</x:v>
      </x:c>
      <x:c r="N76" s="36" t="n">
        <x:v>2</x:v>
      </x:c>
      <x:c r="O76" s="36"/>
      <x:c r="P76" s="36" t="n">
        <x:v>2019</x:v>
      </x:c>
    </x:row>
    <x:row r="77">
      <x:c r="A77" s="16" t="str">
        <x:v>WBF-073</x:v>
      </x:c>
      <x:c r="B77" s="16" t="str">
        <x:v>2019-08-20—2019-08-29</x:v>
      </x:c>
      <x:c r="C77" s="16" t="str">
        <x:v>奥帕蒂亚，克罗地亚</x:v>
      </x:c>
      <x:c r="D77" s="16" t="str">
        <x:v>第6届世界青年公开锦标赛</x:v>
      </x:c>
      <x:c r="E77" s="16" t="str">
        <x:v>U26 Women Teams</x:v>
      </x:c>
      <x:c r="F77" s="17" t="n">
        <x:v>2</x:v>
      </x:c>
      <x:c r="G77" s="17" t="str">
        <x:v>银牌</x:v>
      </x:c>
      <x:c r="H77" s="16" t="str">
        <x:v>SXPEONY</x:v>
      </x:c>
      <x:c r="I77" s="16" t="str">
        <x:v>Yunpeng Chen；Chenyun Ge；Yijia Lu；Xinyao Ruan；Jiaming Xu；Wenfei Yu</x:v>
      </x:c>
      <x:c r="J77" s="16" t="str">
        <x:v>Yunpeng Chen [CHN]；Chenyun Ge [CHN]；Yijia Lu [CHN]；Xinyao Ruan [CHN]；Jiaming Xu [CHN]；Wenfei Yu [CHN]</x:v>
      </x:c>
      <x:c r="K77" s="16" t="str">
        <x:v>Captain: Ling Wang</x:v>
      </x:c>
      <x:c r="L77" s="16" t="str">
        <x:v>https://www.worldbridge.org/2019/08/6th-world-youth-open-championships-the-teams-and-bam-winners/</x:v>
      </x:c>
      <x:c r="M77" s="17" t="str">
        <x:v>否</x:v>
      </x:c>
      <x:c r="N77" s="17" t="n">
        <x:v>6</x:v>
      </x:c>
      <x:c r="O77" s="17"/>
      <x:c r="P77" s="17" t="n">
        <x:v>2019</x:v>
      </x:c>
    </x:row>
    <x:row r="78">
      <x:c r="A78" s="35" t="str">
        <x:v>WBF-074</x:v>
      </x:c>
      <x:c r="B78" s="35" t="str">
        <x:v>2019-08-20—2019-08-29</x:v>
      </x:c>
      <x:c r="C78" s="35" t="str">
        <x:v>奥帕蒂亚，克罗地亚</x:v>
      </x:c>
      <x:c r="D78" s="35" t="str">
        <x:v>第6届世界青年公开锦标赛</x:v>
      </x:c>
      <x:c r="E78" s="35" t="str">
        <x:v>Youth BAM</x:v>
      </x:c>
      <x:c r="F78" s="36" t="n">
        <x:v>3</x:v>
      </x:c>
      <x:c r="G78" s="36" t="str">
        <x:v>铜牌</x:v>
      </x:c>
      <x:c r="H78" s="35" t="str">
        <x:v>SXNEBULA</x:v>
      </x:c>
      <x:c r="I78" s="35" t="str">
        <x:v>Hanyang Dai；Penghao Wang；Yingqi Wang；Hao Xu；Tianyao Yan；Jiahao Yang</x:v>
      </x:c>
      <x:c r="J78" s="35" t="str">
        <x:v>Hanyang Dai [CHN]；Penghao Wang [CHN]；Yingqi Wang [CHN]；Hao Xu [CHN]；Tianyao Yan [CHN]；Jiahao Yang [CHN]</x:v>
      </x:c>
      <x:c r="K78" s="35" t="str">
        <x:v>Captain: Haihong Gu; Coach: Liping Wang</x:v>
      </x:c>
      <x:c r="L78" s="35" t="str">
        <x:v>https://www.worldbridge.org/2019/08/6th-world-youth-open-championships-the-teams-and-bam-winners/</x:v>
      </x:c>
      <x:c r="M78" s="36" t="str">
        <x:v>否</x:v>
      </x:c>
      <x:c r="N78" s="36" t="n">
        <x:v>6</x:v>
      </x:c>
      <x:c r="O78" s="36"/>
      <x:c r="P78" s="36" t="n">
        <x:v>2019</x:v>
      </x:c>
    </x:row>
    <x:row r="79">
      <x:c r="A79" s="16" t="str">
        <x:v>WBF-075</x:v>
      </x:c>
      <x:c r="B79" s="16" t="str">
        <x:v>2019-09</x:v>
      </x:c>
      <x:c r="C79" s="16" t="str">
        <x:v>武汉，中国</x:v>
      </x:c>
      <x:c r="D79" s="16" t="str">
        <x:v>世界桥牌团体锦标赛</x:v>
      </x:c>
      <x:c r="E79" s="16" t="str">
        <x:v>Transnational Open Teams 跨国公开团体</x:v>
      </x:c>
      <x:c r="F79" s="17" t="n">
        <x:v>1</x:v>
      </x:c>
      <x:c r="G79" s="17" t="str">
        <x:v>金牌</x:v>
      </x:c>
      <x:c r="H79" s="16" t="str">
        <x:v>CHINA</x:v>
      </x:c>
      <x:c r="I79" s="16" t="str">
        <x:v>Shaolin Sun；Yong Lian；Yong Chen；Yide Luo；Xiaoguang Yu；Shengle Zhang</x:v>
      </x:c>
      <x:c r="J79" s="16" t="str">
        <x:v>Shaolin Sun [CHN]；Yong Lian [CHN]；Yong Chen [CHN]；Yide Luo [CHN]；Xiaoguang Yu [CHN]；Shengle Zhang [CHN]</x:v>
      </x:c>
      <x:c r="K79" s="16"/>
      <x:c r="L79" s="16" t="str">
        <x:v>https://www.wbfmasterpoints.com/Medalsreport.asp</x:v>
      </x:c>
      <x:c r="M79" s="17" t="str">
        <x:v>否</x:v>
      </x:c>
      <x:c r="N79" s="17" t="n">
        <x:v>6</x:v>
      </x:c>
      <x:c r="O79" s="17"/>
      <x:c r="P79" s="17" t="n">
        <x:v>2019</x:v>
      </x:c>
    </x:row>
    <x:row r="80">
      <x:c r="A80" s="35" t="str">
        <x:v>WBF-076</x:v>
      </x:c>
      <x:c r="B80" s="35" t="str">
        <x:v>2019-09</x:v>
      </x:c>
      <x:c r="C80" s="35" t="str">
        <x:v>武汉，中国</x:v>
      </x:c>
      <x:c r="D80" s="35" t="str">
        <x:v>世界桥牌团体锦标赛</x:v>
      </x:c>
      <x:c r="E80" s="35" t="str">
        <x:v>Transnational Open Teams 跨国公开团体</x:v>
      </x:c>
      <x:c r="F80" s="36" t="n">
        <x:v>2</x:v>
      </x:c>
      <x:c r="G80" s="36" t="str">
        <x:v>银牌</x:v>
      </x:c>
      <x:c r="H80" s="35" t="str">
        <x:v>CHINA</x:v>
      </x:c>
      <x:c r="I80" s="35" t="str">
        <x:v>Hongbin Su；Rui Li；Shangjie Wu；Huibo Jiang；Guofang Xin；Siyuan Shen</x:v>
      </x:c>
      <x:c r="J80" s="35" t="str">
        <x:v>Hongbin Su [CHN]；Rui Li [CHN]；Shangjie Wu [CHN]；Huibo Jiang [CHN]；Guofang Xin [CHN]；Siyuan Shen [CHN]</x:v>
      </x:c>
      <x:c r="K80" s="35"/>
      <x:c r="L80" s="35" t="str">
        <x:v>https://www.wbfmasterpoints.com/Medalsreport.asp</x:v>
      </x:c>
      <x:c r="M80" s="36" t="str">
        <x:v>否</x:v>
      </x:c>
      <x:c r="N80" s="36" t="n">
        <x:v>6</x:v>
      </x:c>
      <x:c r="O80" s="36"/>
      <x:c r="P80" s="36" t="n">
        <x:v>2019</x:v>
      </x:c>
    </x:row>
    <x:row r="81">
      <x:c r="A81" s="16" t="str">
        <x:v>WBF-077</x:v>
      </x:c>
      <x:c r="B81" s="16" t="str">
        <x:v>2019-09</x:v>
      </x:c>
      <x:c r="C81" s="16" t="str">
        <x:v>武汉，中国</x:v>
      </x:c>
      <x:c r="D81" s="16" t="str">
        <x:v>世界桥牌团体锦标赛</x:v>
      </x:c>
      <x:c r="E81" s="16" t="str">
        <x:v>Transnational Open Teams 跨国公开团体</x:v>
      </x:c>
      <x:c r="F81" s="17" t="n">
        <x:v>3</x:v>
      </x:c>
      <x:c r="G81" s="17" t="str">
        <x:v>铜牌</x:v>
      </x:c>
      <x:c r="H81" s="16" t="str">
        <x:v>CHINA</x:v>
      </x:c>
      <x:c r="I81" s="16" t="str">
        <x:v>Yan Huang；Li Xin Yang；Jian Ming Dai；Jie Zhao；Jing Rong Ran；Yu Zhang</x:v>
      </x:c>
      <x:c r="J81" s="16" t="str">
        <x:v>Yan Huang [CHN]；Li Xin Yang [CHN]；Jian Ming Dai [CHN]；Jie Zhao [CHN]；Jing Rong Ran [CHN]；Yu Zhang [CHN]</x:v>
      </x:c>
      <x:c r="K81" s="16"/>
      <x:c r="L81" s="16" t="str">
        <x:v>https://www.wbfmasterpoints.com/Medalsreport.asp</x:v>
      </x:c>
      <x:c r="M81" s="17" t="str">
        <x:v>否</x:v>
      </x:c>
      <x:c r="N81" s="17" t="n">
        <x:v>6</x:v>
      </x:c>
      <x:c r="O81" s="17"/>
      <x:c r="P81" s="17" t="n">
        <x:v>2019</x:v>
      </x:c>
    </x:row>
    <x:row r="82">
      <x:c r="A82" s="35" t="str">
        <x:v>WBF-078</x:v>
      </x:c>
      <x:c r="B82" s="35" t="str">
        <x:v>2019-09</x:v>
      </x:c>
      <x:c r="C82" s="35" t="str">
        <x:v>武汉，中国</x:v>
      </x:c>
      <x:c r="D82" s="35" t="str">
        <x:v>世界桥牌团体锦标赛</x:v>
      </x:c>
      <x:c r="E82" s="35" t="str">
        <x:v>Venice Cup 女子团体</x:v>
      </x:c>
      <x:c r="F82" s="36" t="n">
        <x:v>2</x:v>
      </x:c>
      <x:c r="G82" s="36" t="str">
        <x:v>银牌</x:v>
      </x:c>
      <x:c r="H82" s="35" t="str">
        <x:v>CHINA</x:v>
      </x:c>
      <x:c r="I82" s="35" t="str">
        <x:v>Xiaoxue Zuo；Yan Liu；Nan Wang；Qi Shen；Wen Fei Wang；Yan Lu</x:v>
      </x:c>
      <x:c r="J82" s="35" t="str">
        <x:v>Xiaoxue Zuo [CHN]；Yan Liu [CHN]；Nan Wang [CHN]；Qi Shen [CHN]；Wen Fei Wang [CHN]；Yan Lu [CHN]</x:v>
      </x:c>
      <x:c r="K82" s="35"/>
      <x:c r="L82" s="35" t="str">
        <x:v>https://www.wbfmasterpoints.com/Medalsreport.asp</x:v>
      </x:c>
      <x:c r="M82" s="36" t="str">
        <x:v>否</x:v>
      </x:c>
      <x:c r="N82" s="36" t="n">
        <x:v>6</x:v>
      </x:c>
      <x:c r="O82" s="36"/>
      <x:c r="P82" s="36" t="n">
        <x:v>2019</x:v>
      </x:c>
    </x:row>
    <x:row r="83">
      <x:c r="A83" s="16" t="str">
        <x:v>WBF-101</x:v>
      </x:c>
      <x:c r="B83" s="16" t="str">
        <x:v>2023-07-31—2023-08-07</x:v>
      </x:c>
      <x:c r="C83" s="16" t="str">
        <x:v>费尔德霍芬，荷兰</x:v>
      </x:c>
      <x:c r="D83" s="16" t="str">
        <x:v>第18届世界青年团体锦标赛</x:v>
      </x:c>
      <x:c r="E83" s="16" t="str">
        <x:v>U16 BAM</x:v>
      </x:c>
      <x:c r="F83" s="17" t="n">
        <x:v>1</x:v>
      </x:c>
      <x:c r="G83" s="17" t="str">
        <x:v>金牌</x:v>
      </x:c>
      <x:c r="H83" s="16" t="str">
        <x:v>CHINA</x:v>
      </x:c>
      <x:c r="I83" s="16" t="str">
        <x:v>Sirui Chen；Xuchen Tang；Haoran Wang；Haoxuan Yu；Zixuan Yuan；Ziqi Zhang</x:v>
      </x:c>
      <x:c r="J83" s="16" t="str">
        <x:v>Sirui Chen [CHN]；Xuchen Tang [CHN]；Haoran Wang [CHN]；Haoxuan Yu [CHN]；Zixuan Yuan [CHN]；Ziqi Zhang [CHN]</x:v>
      </x:c>
      <x:c r="K83" s="16" t="str">
        <x:v>Captain: Jichao Hu; Coach: Yinghao Liu</x:v>
      </x:c>
      <x:c r="L83"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c r="M83" s="17" t="str">
        <x:v>否</x:v>
      </x:c>
      <x:c r="N83" s="17" t="n">
        <x:v>6</x:v>
      </x:c>
      <x:c r="O83" s="17" t="str">
        <x:v>WBF最终公报与成绩数据库均列CHINA为U16 BAM冠军；这是原逐项台账明确漏掉的正式青年BAM项目。</x:v>
      </x:c>
      <x:c r="P83" s="17" t="n">
        <x:v>2023</x:v>
      </x:c>
    </x:row>
    <x:row r="84">
      <x:c r="A84" s="35" t="str">
        <x:v>WBF-079</x:v>
      </x:c>
      <x:c r="B84" s="35" t="str">
        <x:v>2023-08</x:v>
      </x:c>
      <x:c r="C84" s="35" t="str">
        <x:v>马拉喀什，摩洛哥</x:v>
      </x:c>
      <x:c r="D84" s="35" t="str">
        <x:v>世界桥牌团体锦标赛</x:v>
      </x:c>
      <x:c r="E84" s="35" t="str">
        <x:v>Venice Cup 女子团体</x:v>
      </x:c>
      <x:c r="F84" s="36" t="n">
        <x:v>3</x:v>
      </x:c>
      <x:c r="G84" s="36" t="str">
        <x:v>铜牌</x:v>
      </x:c>
      <x:c r="H84" s="35" t="str">
        <x:v>CHINA</x:v>
      </x:c>
      <x:c r="I84" s="35" t="str">
        <x:v>Yan Huang；Jing Rong Ran；Yan Liu；Xiuting Yu；Meiling Zhou；Xiaoxue Zuo</x:v>
      </x:c>
      <x:c r="J84" s="35" t="str">
        <x:v>Yan Huang [CHN]；Jing Rong Ran [CHN]；Yan Liu [CHN]；Xiuting Yu [CHN]；Meiling Zhou [CHN]；Xiaoxue Zuo [CHN]</x:v>
      </x:c>
      <x:c r="K84" s="35"/>
      <x:c r="L84" s="35" t="str">
        <x:v>https://www.wbfmasterpoints.com/Medalsreport.asp</x:v>
      </x:c>
      <x:c r="M84" s="36" t="str">
        <x:v>否</x:v>
      </x:c>
      <x:c r="N84" s="36" t="n">
        <x:v>6</x:v>
      </x:c>
      <x:c r="O84" s="36"/>
      <x:c r="P84" s="36" t="n">
        <x:v>2023</x:v>
      </x:c>
    </x:row>
    <x:row r="85">
      <x:c r="A85" s="16" t="str">
        <x:v>WBF-080</x:v>
      </x:c>
      <x:c r="B85" s="16" t="str">
        <x:v>2024-07-13—2024-07-18</x:v>
      </x:c>
      <x:c r="C85" s="16" t="str">
        <x:v>弗罗茨瓦夫，波兰</x:v>
      </x:c>
      <x:c r="D85" s="16" t="str">
        <x:v>第8届世界青年跨国锦标赛</x:v>
      </x:c>
      <x:c r="E85" s="16" t="str">
        <x:v>U21 Teams</x:v>
      </x:c>
      <x:c r="F85" s="17" t="n">
        <x:v>3</x:v>
      </x:c>
      <x:c r="G85" s="17" t="str">
        <x:v>铜牌</x:v>
      </x:c>
      <x:c r="H85" s="16" t="str">
        <x:v>RDFZ B (CHN/USA)</x:v>
      </x:c>
      <x:c r="I85" s="16" t="str">
        <x:v>Hanxi Ma；Ziao Wang；Yuekai Yang</x:v>
      </x:c>
      <x:c r="J85" s="16" t="str">
        <x:v>Hanxi Ma [CHN]；Ziao Wang [CHN]；Bruce Wu [USA]；Yuekai Yang [CHN]；Brian Zhang [USA]；Feng Zhu [USA]</x:v>
      </x:c>
      <x:c r="K85" s="16" t="str">
        <x:v>NPC: Yinghao Liu; Coach: Jichao Hu</x:v>
      </x:c>
      <x:c r="L85" s="16" t="str">
        <x:v>https://championships.worldbridge.org/8th-world-youth-transnational-championships</x:v>
      </x:c>
      <x:c r="M85" s="17" t="str">
        <x:v>是</x:v>
      </x:c>
      <x:c r="N85" s="17" t="n">
        <x:v>3</x:v>
      </x:c>
      <x:c r="O85" s="17" t="str">
        <x:v>WBF赛事汇总仅以队级标注CHN/USA；个人NBO按成绩库参赛登记拆分。</x:v>
      </x:c>
      <x:c r="P85" s="17" t="n">
        <x:v>2024</x:v>
      </x:c>
    </x:row>
    <x:row r="86">
      <x:c r="A86" s="35" t="str">
        <x:v>WBF-081</x:v>
      </x:c>
      <x:c r="B86" s="35" t="str">
        <x:v>2024-10-22—2024-11-03</x:v>
      </x:c>
      <x:c r="C86" s="35" t="str">
        <x:v>布宜诺斯艾利斯，阿根廷</x:v>
      </x:c>
      <x:c r="D86" s="35" t="str">
        <x:v>第16届世界桥牌运动会</x:v>
      </x:c>
      <x:c r="E86" s="35" t="str">
        <x:v>Mixed Teams 混合团体</x:v>
      </x:c>
      <x:c r="F86" s="36" t="n">
        <x:v>2</x:v>
      </x:c>
      <x:c r="G86" s="36" t="str">
        <x:v>银牌</x:v>
      </x:c>
      <x:c r="H86" s="35" t="str">
        <x:v>CHINA</x:v>
      </x:c>
      <x:c r="I86" s="35" t="str">
        <x:v>Yichao Chen；Bo Fu；Yuegang Kuang；Yinghao Liu；Yan Lu；Yanhui Sun</x:v>
      </x:c>
      <x:c r="J86" s="35" t="str">
        <x:v>Yichao Chen [CHN]；Bo Fu [CHN]；Yuegang Kuang [CHN]；Yinghao Liu [CHN]；Yan Lu [CHN]；Yanhui Sun [CHN]</x:v>
      </x:c>
      <x:c r="K86" s="35" t="str">
        <x:v>Captain: Jianguo Xu; Coach: Xiaojing Wang</x:v>
      </x:c>
      <x:c r="L86" s="35" t="str">
        <x:v>https://www.worldbridge.org/2024/11/world-bridge-games-2024-the-winners/</x:v>
      </x:c>
      <x:c r="M86" s="36" t="str">
        <x:v>否</x:v>
      </x:c>
      <x:c r="N86" s="36" t="n">
        <x:v>6</x:v>
      </x:c>
      <x:c r="O86" s="36"/>
      <x:c r="P86" s="36" t="n">
        <x:v>2024</x:v>
      </x:c>
    </x:row>
    <x:row r="87">
      <x:c r="A87" s="16" t="str">
        <x:v>WBF-082</x:v>
      </x:c>
      <x:c r="B87" s="16" t="str">
        <x:v>2025-07-12—2025-07-17</x:v>
      </x:c>
      <x:c r="C87" s="16" t="str">
        <x:v>萨尔索马焦雷，意大利</x:v>
      </x:c>
      <x:c r="D87" s="16" t="str">
        <x:v>第19届世界青年团体锦标赛</x:v>
      </x:c>
      <x:c r="E87" s="16" t="str">
        <x:v>U16 BAM</x:v>
      </x:c>
      <x:c r="F87" s="17" t="n">
        <x:v>1</x:v>
      </x:c>
      <x:c r="G87" s="17" t="str">
        <x:v>金牌</x:v>
      </x:c>
      <x:c r="H87" s="16" t="str">
        <x:v>CHINA</x:v>
      </x:c>
      <x:c r="I87" s="16" t="str">
        <x:v>Yuyi Bu；Haochen Hu；Yezhen Ji；Xinhao Wu；Ziwen Zhao；Zekun Zhu</x:v>
      </x:c>
      <x:c r="J87" s="16" t="str">
        <x:v>Yuyi Bu [CHN]；Haochen Hu [CHN]；Yezhen Ji [CHN]；Xinhao Wu [CHN]；Ziwen Zhao [CHN]；Zekun Zhu [CHN]</x:v>
      </x:c>
      <x:c r="K87" s="16" t="str">
        <x:v>Captain: Lingyi Yang; Coach: Ruming Zhang</x:v>
      </x:c>
      <x:c r="L87" s="16" t="str">
        <x:v>https://www.worldbridge.org/2025/07/19th-world-youth-team-championships-the-winners/</x:v>
      </x:c>
      <x:c r="M87" s="17" t="str">
        <x:v>否</x:v>
      </x:c>
      <x:c r="N87" s="17" t="n">
        <x:v>6</x:v>
      </x:c>
      <x:c r="O87" s="17"/>
      <x:c r="P87" s="17" t="n">
        <x:v>2025</x:v>
      </x:c>
    </x:row>
    <x:row r="88">
      <x:c r="A88" s="35" t="str">
        <x:v>WBF-083</x:v>
      </x:c>
      <x:c r="B88" s="35" t="str">
        <x:v>2025-07-12—2025-07-17</x:v>
      </x:c>
      <x:c r="C88" s="35" t="str">
        <x:v>萨尔索马焦雷，意大利</x:v>
      </x:c>
      <x:c r="D88" s="35" t="str">
        <x:v>第19届世界青年团体锦标赛</x:v>
      </x:c>
      <x:c r="E88" s="35" t="str">
        <x:v>U26 Women Teams</x:v>
      </x:c>
      <x:c r="F88" s="36" t="n">
        <x:v>3</x:v>
      </x:c>
      <x:c r="G88" s="36" t="str">
        <x:v>铜牌</x:v>
      </x:c>
      <x:c r="H88" s="35" t="str">
        <x:v>CHINA</x:v>
      </x:c>
      <x:c r="I88" s="35" t="str">
        <x:v>Yunpeng Chen；Sifan Jiang；Yixuan Jiang；Chujia Pan；Xinyao Ruan；Lingyun Teng</x:v>
      </x:c>
      <x:c r="J88" s="35" t="str">
        <x:v>Yunpeng Chen [CHN]；Sifan Jiang [CHN]；Yixuan Jiang [CHN]；Chujia Pan [CHN]；Xinyao Ruan [CHN]；Lingyun Teng [CHN]</x:v>
      </x:c>
      <x:c r="K88" s="35" t="str">
        <x:v>Captain: Yi Xing Lv; Coach: Zhenhuan Gu</x:v>
      </x:c>
      <x:c r="L88" s="35" t="str">
        <x:v>https://www.worldbridge.org/2025/07/19th-world-youth-team-championships-the-winners/</x:v>
      </x:c>
      <x:c r="M88" s="36" t="str">
        <x:v>否</x:v>
      </x:c>
      <x:c r="N88" s="36" t="n">
        <x:v>6</x:v>
      </x:c>
      <x:c r="O88" s="36"/>
      <x:c r="P88" s="36" t="n">
        <x:v>2025</x:v>
      </x:c>
    </x:row>
    <x:row r="89">
      <x:c r="A89" s="16" t="str">
        <x:v>WBF-084</x:v>
      </x:c>
      <x:c r="B89" s="16" t="str">
        <x:v>2025-08-20—2025-08-31</x:v>
      </x:c>
      <x:c r="C89" s="16" t="str">
        <x:v>海宁，丹麦</x:v>
      </x:c>
      <x:c r="D89" s="16" t="str">
        <x:v>第47届世界桥牌团体锦标赛</x:v>
      </x:c>
      <x:c r="E89" s="16" t="str">
        <x:v>Venice Cup 女子团体</x:v>
      </x:c>
      <x:c r="F89" s="17" t="n">
        <x:v>2</x:v>
      </x:c>
      <x:c r="G89" s="17" t="str">
        <x:v>银牌</x:v>
      </x:c>
      <x:c r="H89" s="16" t="str">
        <x:v>CHINA</x:v>
      </x:c>
      <x:c r="I89" s="16" t="str">
        <x:v>Ke Guo；Xuefang Yuan；Xiaoxue Zuo；Zhengjiang Liao；Jian Wang；Nan Wang</x:v>
      </x:c>
      <x:c r="J89" s="16" t="str">
        <x:v>Ke Guo [CHN]；Xuefang Yuan [CHN]；Xiaoxue Zuo [CHN]；Zhengjiang Liao [CHN]；Jian Wang [CHN]；Nan Wang [CHN]</x:v>
      </x:c>
      <x:c r="K89" s="16" t="str">
        <x:v>Captain: Yujun Guo; Coach: Xin Li</x:v>
      </x:c>
      <x:c r="L89" s="16" t="str">
        <x:v>https://www.worldbridge.org/2025/08/congratulations-to-the-champions/</x:v>
      </x:c>
      <x:c r="M89" s="17" t="str">
        <x:v>否</x:v>
      </x:c>
      <x:c r="N89" s="17" t="n">
        <x:v>6</x:v>
      </x:c>
      <x:c r="O89" s="17"/>
      <x:c r="P89" s="17" t="n">
        <x:v>2025</x:v>
      </x:c>
    </x:row>
    <x:row r="90">
      <x:c r="A90" s="35" t="str">
        <x:v>WBF-085</x:v>
      </x:c>
      <x:c r="B90" s="35" t="str">
        <x:v>2025-08-20—2025-08-31</x:v>
      </x:c>
      <x:c r="C90" s="35" t="str">
        <x:v>海宁，丹麦</x:v>
      </x:c>
      <x:c r="D90" s="35" t="str">
        <x:v>第47届世界桥牌团体锦标赛</x:v>
      </x:c>
      <x:c r="E90" s="35" t="str">
        <x:v>Wuhan Cup 混合团体</x:v>
      </x:c>
      <x:c r="F90" s="36" t="n">
        <x:v>2</x:v>
      </x:c>
      <x:c r="G90" s="36" t="str">
        <x:v>银牌</x:v>
      </x:c>
      <x:c r="H90" s="35" t="str">
        <x:v>CHINA</x:v>
      </x:c>
      <x:c r="I90" s="35" t="str">
        <x:v>Zijian Shao；Jing Rong Ran；Yichao Chen；Bo Fu；Yinghao Liu；Yan Lu</x:v>
      </x:c>
      <x:c r="J90" s="35" t="str">
        <x:v>Zijian Shao [CHN]；Jing Rong Ran [CHN]；Yichao Chen [CHN]；Bo Fu [CHN]；Yinghao Liu [CHN]；Yan Lu [CHN]</x:v>
      </x:c>
      <x:c r="K90" s="35" t="str">
        <x:v>Captain: Yannan Wang; Coach: Xiaojing Wang</x:v>
      </x:c>
      <x:c r="L90" s="35" t="str">
        <x:v>https://www.worldbridge.org/2025/08/congratulations-to-the-champions/</x:v>
      </x:c>
      <x:c r="M90" s="36" t="str">
        <x:v>否</x:v>
      </x:c>
      <x:c r="N90" s="36" t="n">
        <x:v>6</x:v>
      </x:c>
      <x:c r="O90" s="36"/>
      <x:c r="P90" s="36" t="n">
        <x:v>2025</x:v>
      </x:c>
    </x:row>
    <x:row r="91">
      <x:c r="A91" s="16" t="str">
        <x:v>WBF-086</x:v>
      </x:c>
      <x:c r="B91" s="16" t="str">
        <x:v>2026-08-03—2026-08-08</x:v>
      </x:c>
      <x:c r="C91" s="16" t="str">
        <x:v>合肥，中国</x:v>
      </x:c>
      <x:c r="D91" s="16" t="str">
        <x:v>第9届世界青年跨国锦标赛</x:v>
      </x:c>
      <x:c r="E91" s="16" t="str">
        <x:v>U16 Pairs</x:v>
      </x:c>
      <x:c r="F91" s="17" t="n">
        <x:v>1</x:v>
      </x:c>
      <x:c r="G91" s="17" t="str">
        <x:v>金牌</x:v>
      </x:c>
      <x:c r="H91" s="16" t="str">
        <x:v>Lepeng Shen – Xiao Xu</x:v>
      </x:c>
      <x:c r="I91" s="16" t="str">
        <x:v>Lepeng Shen；Xiao Xu</x:v>
      </x:c>
      <x:c r="J91" s="16" t="str">
        <x:v>Lepeng Shen [CHN]；Xiao Xu [CHN]</x:v>
      </x:c>
      <x:c r="K91" s="16"/>
      <x:c r="L91" s="16" t="str">
        <x:v>https://db.worldbridge.org/Repository/tourn/hefei.26/microsite/Asp/TotalPairs.asp?qtournid=2668&amp;qgroupno=1&amp;qroundno=3</x:v>
      </x:c>
      <x:c r="M91" s="17" t="str">
        <x:v>否</x:v>
      </x:c>
      <x:c r="N91" s="17" t="n">
        <x:v>2</x:v>
      </x:c>
      <x:c r="O91" s="17"/>
      <x:c r="P91" s="17" t="n">
        <x:v>2026</x:v>
      </x:c>
    </x:row>
    <x:row r="92">
      <x:c r="A92" s="35" t="str">
        <x:v>WBF-087</x:v>
      </x:c>
      <x:c r="B92" s="35" t="str">
        <x:v>2026-08-03—2026-08-08</x:v>
      </x:c>
      <x:c r="C92" s="35" t="str">
        <x:v>合肥，中国</x:v>
      </x:c>
      <x:c r="D92" s="35" t="str">
        <x:v>第9届世界青年跨国锦标赛</x:v>
      </x:c>
      <x:c r="E92" s="35" t="str">
        <x:v>U16 Pairs</x:v>
      </x:c>
      <x:c r="F92" s="36" t="n">
        <x:v>2</x:v>
      </x:c>
      <x:c r="G92" s="36" t="str">
        <x:v>银牌</x:v>
      </x:c>
      <x:c r="H92" s="35" t="str">
        <x:v>Xinhao Wu – Yezhen Ji</x:v>
      </x:c>
      <x:c r="I92" s="35" t="str">
        <x:v>Xinhao Wu；Yezhen Ji</x:v>
      </x:c>
      <x:c r="J92" s="35" t="str">
        <x:v>Xinhao Wu [CHN]；Yezhen Ji [CHN]</x:v>
      </x:c>
      <x:c r="K92" s="35"/>
      <x:c r="L92" s="35" t="str">
        <x:v>https://db.worldbridge.org/Repository/tourn/hefei.26/microsite/Asp/TotalPairs.asp?qtournid=2668&amp;qgroupno=1&amp;qroundno=3</x:v>
      </x:c>
      <x:c r="M92" s="36" t="str">
        <x:v>否</x:v>
      </x:c>
      <x:c r="N92" s="36" t="n">
        <x:v>2</x:v>
      </x:c>
      <x:c r="O92" s="36"/>
      <x:c r="P92" s="36" t="n">
        <x:v>2026</x:v>
      </x:c>
    </x:row>
    <x:row r="93">
      <x:c r="A93" s="16" t="str">
        <x:v>WBF-088</x:v>
      </x:c>
      <x:c r="B93" s="16" t="str">
        <x:v>2026-08-03—2026-08-08</x:v>
      </x:c>
      <x:c r="C93" s="16" t="str">
        <x:v>合肥，中国</x:v>
      </x:c>
      <x:c r="D93" s="16" t="str">
        <x:v>第9届世界青年跨国锦标赛</x:v>
      </x:c>
      <x:c r="E93" s="16" t="str">
        <x:v>U16 Teams</x:v>
      </x:c>
      <x:c r="F93" s="17" t="n">
        <x:v>1</x:v>
      </x:c>
      <x:c r="G93" s="17" t="str">
        <x:v>金牌</x:v>
      </x:c>
      <x:c r="H93" s="16" t="str">
        <x:v>NT TTAOQI</x:v>
      </x:c>
      <x:c r="I93" s="16" t="str">
        <x:v>Yanhua Hu；Yanjia Hu；Yichen Luo；Xinhao Wu；Xuze Xu</x:v>
      </x:c>
      <x:c r="J93" s="16" t="str">
        <x:v>Yanhua Hu [CHN]；Yanjia Hu [CHN]；Yichen Luo [CHN]；Xinhao Wu [CHN]；Xuze Xu [CHN]</x:v>
      </x:c>
      <x:c r="K93" s="16"/>
      <x:c r="L93" s="16" t="str">
        <x:v>https://db.worldbridge.org/Repository/tourn/hefei.26/microsite/results.htm</x:v>
      </x:c>
      <x:c r="M93" s="17" t="str">
        <x:v>否</x:v>
      </x:c>
      <x:c r="N93" s="17" t="n">
        <x:v>5</x:v>
      </x:c>
      <x:c r="O93" s="17"/>
      <x:c r="P93" s="17" t="n">
        <x:v>2026</x:v>
      </x:c>
    </x:row>
    <x:row r="94">
      <x:c r="A94" s="35" t="str">
        <x:v>WBF-089</x:v>
      </x:c>
      <x:c r="B94" s="35" t="str">
        <x:v>2026-08-03—2026-08-08</x:v>
      </x:c>
      <x:c r="C94" s="35" t="str">
        <x:v>合肥，中国</x:v>
      </x:c>
      <x:c r="D94" s="35" t="str">
        <x:v>第9届世界青年跨国锦标赛</x:v>
      </x:c>
      <x:c r="E94" s="35" t="str">
        <x:v>U16 Teams</x:v>
      </x:c>
      <x:c r="F94" s="36" t="n">
        <x:v>3</x:v>
      </x:c>
      <x:c r="G94" s="36" t="str">
        <x:v>铜牌</x:v>
      </x:c>
      <x:c r="H94" s="35" t="str">
        <x:v>SHANGHAI NTBC TANK</x:v>
      </x:c>
      <x:c r="I94" s="35" t="str">
        <x:v>Zimo Chen；Cheng Lin；Di Wang；Chenyang Xiong；Yuchen Ye；Yuran Zhang</x:v>
      </x:c>
      <x:c r="J94" s="35" t="str">
        <x:v>Zimo Chen [CHN]；Cheng Lin [CHN]；Di Wang [CHN]；Chenyang Xiong [CHN]；Yuchen Ye [CHN]；Yuran Zhang [CHN]</x:v>
      </x:c>
      <x:c r="K94" s="35"/>
      <x:c r="L94" s="35" t="str">
        <x:v>https://db.worldbridge.org/Repository/tourn/hefei.26/microsite/results.htm</x:v>
      </x:c>
      <x:c r="M94" s="36" t="str">
        <x:v>否</x:v>
      </x:c>
      <x:c r="N94" s="36" t="n">
        <x:v>6</x:v>
      </x:c>
      <x:c r="O94" s="36"/>
      <x:c r="P94" s="36" t="n">
        <x:v>2026</x:v>
      </x:c>
    </x:row>
    <x:row r="95">
      <x:c r="A95" s="16" t="str">
        <x:v>WBF-090</x:v>
      </x:c>
      <x:c r="B95" s="16" t="str">
        <x:v>2026-08-03—2026-08-08</x:v>
      </x:c>
      <x:c r="C95" s="16" t="str">
        <x:v>合肥，中国</x:v>
      </x:c>
      <x:c r="D95" s="16" t="str">
        <x:v>第9届世界青年跨国锦标赛</x:v>
      </x:c>
      <x:c r="E95" s="16" t="str">
        <x:v>U21 Pairs</x:v>
      </x:c>
      <x:c r="F95" s="17" t="n">
        <x:v>2</x:v>
      </x:c>
      <x:c r="G95" s="17" t="str">
        <x:v>银牌</x:v>
      </x:c>
      <x:c r="H95" s="16" t="str">
        <x:v>Jeff Xiao – Yuxuan Liu</x:v>
      </x:c>
      <x:c r="I95" s="16" t="str">
        <x:v>Yuxuan Liu</x:v>
      </x:c>
      <x:c r="J95" s="16" t="str">
        <x:v>Jeff Xiao [USA]；Yuxuan Liu [CHN]</x:v>
      </x:c>
      <x:c r="K95" s="16"/>
      <x:c r="L95" s="16" t="str">
        <x:v>https://db.worldbridge.org/Repository/tourn/hefei.26/microsite/Asp/TotalPairs.asp?qtournid=2666&amp;qgroupno=1&amp;qroundno=3</x:v>
      </x:c>
      <x:c r="M95" s="17" t="str">
        <x:v>是</x:v>
      </x:c>
      <x:c r="N95" s="17" t="n">
        <x:v>1</x:v>
      </x:c>
      <x:c r="O95" s="17"/>
      <x:c r="P95" s="17" t="n">
        <x:v>2026</x:v>
      </x:c>
    </x:row>
    <x:row r="96">
      <x:c r="A96" s="35" t="str">
        <x:v>WBF-091</x:v>
      </x:c>
      <x:c r="B96" s="35" t="str">
        <x:v>2026-08-03—2026-08-08</x:v>
      </x:c>
      <x:c r="C96" s="35" t="str">
        <x:v>合肥，中国</x:v>
      </x:c>
      <x:c r="D96" s="35" t="str">
        <x:v>第9届世界青年跨国锦标赛</x:v>
      </x:c>
      <x:c r="E96" s="35" t="str">
        <x:v>U21 Pairs</x:v>
      </x:c>
      <x:c r="F96" s="36" t="n">
        <x:v>3</x:v>
      </x:c>
      <x:c r="G96" s="36" t="str">
        <x:v>铜牌</x:v>
      </x:c>
      <x:c r="H96" s="35" t="str">
        <x:v>Che Han – Yuekai Yang</x:v>
      </x:c>
      <x:c r="I96" s="35" t="str">
        <x:v>Che Han；Yuekai Yang</x:v>
      </x:c>
      <x:c r="J96" s="35" t="str">
        <x:v>Che Han [CHN]；Yuekai Yang [CHN]</x:v>
      </x:c>
      <x:c r="K96" s="35"/>
      <x:c r="L96" s="35" t="str">
        <x:v>https://db.worldbridge.org/Repository/tourn/hefei.26/microsite/Asp/TotalPairs.asp?qtournid=2666&amp;qgroupno=1&amp;qroundno=3</x:v>
      </x:c>
      <x:c r="M96" s="36" t="str">
        <x:v>否</x:v>
      </x:c>
      <x:c r="N96" s="36" t="n">
        <x:v>2</x:v>
      </x:c>
      <x:c r="O96" s="36"/>
      <x:c r="P96" s="36" t="n">
        <x:v>2026</x:v>
      </x:c>
    </x:row>
    <x:row r="97">
      <x:c r="A97" s="16" t="str">
        <x:v>WBF-092</x:v>
      </x:c>
      <x:c r="B97" s="16" t="str">
        <x:v>2026-08-03—2026-08-08</x:v>
      </x:c>
      <x:c r="C97" s="16" t="str">
        <x:v>合肥，中国</x:v>
      </x:c>
      <x:c r="D97" s="16" t="str">
        <x:v>第9届世界青年跨国锦标赛</x:v>
      </x:c>
      <x:c r="E97" s="16" t="str">
        <x:v>U21 Teams</x:v>
      </x:c>
      <x:c r="F97" s="17" t="n">
        <x:v>2</x:v>
      </x:c>
      <x:c r="G97" s="17" t="str">
        <x:v>银牌</x:v>
      </x:c>
      <x:c r="H97" s="16" t="str">
        <x:v>CHINA RDFZ BAXI</x:v>
      </x:c>
      <x:c r="I97" s="16" t="str">
        <x:v>Yizheng Ge；Che Han；Xincheng Lyu；Hanting Wang；Yuekai Yang；Zixuan Yuan</x:v>
      </x:c>
      <x:c r="J97" s="16" t="str">
        <x:v>Yizheng Ge [CHN]；Che Han [CHN]；Xincheng Lyu [CHN]；Hanting Wang [CHN]；Yuekai Yang [CHN]；Zixuan Yuan [CHN]</x:v>
      </x:c>
      <x:c r="K97" s="16"/>
      <x:c r="L97" s="16" t="str">
        <x:v>https://db.worldbridge.org/Repository/tourn/hefei.26/microsite/results.htm</x:v>
      </x:c>
      <x:c r="M97" s="17" t="str">
        <x:v>否</x:v>
      </x:c>
      <x:c r="N97" s="17" t="n">
        <x:v>6</x:v>
      </x:c>
      <x:c r="O97" s="17"/>
      <x:c r="P97" s="17" t="n">
        <x:v>2026</x:v>
      </x:c>
    </x:row>
    <x:row r="98">
      <x:c r="A98" s="35" t="str">
        <x:v>WBF-093</x:v>
      </x:c>
      <x:c r="B98" s="35" t="str">
        <x:v>2026-08-03—2026-08-08</x:v>
      </x:c>
      <x:c r="C98" s="35" t="str">
        <x:v>合肥，中国</x:v>
      </x:c>
      <x:c r="D98" s="35" t="str">
        <x:v>第9届世界青年跨国锦标赛</x:v>
      </x:c>
      <x:c r="E98" s="35" t="str">
        <x:v>U26 Pairs</x:v>
      </x:c>
      <x:c r="F98" s="36" t="n">
        <x:v>1</x:v>
      </x:c>
      <x:c r="G98" s="36" t="str">
        <x:v>金牌</x:v>
      </x:c>
      <x:c r="H98" s="35" t="str">
        <x:v>Baozhuo Jiang – Brian Zhang</x:v>
      </x:c>
      <x:c r="I98" s="35" t="str">
        <x:v>Baozhuo Jiang</x:v>
      </x:c>
      <x:c r="J98" s="35" t="str">
        <x:v>Baozhuo Jiang [CHN]；Brian Zhang [USA]</x:v>
      </x:c>
      <x:c r="K98" s="35"/>
      <x:c r="L98" s="35" t="str">
        <x:v>https://db.worldbridge.org/Repository/tourn/hefei.26/microsite/Asp/TotalPairs.asp?qtournid=2665&amp;qgroupno=1&amp;qroundno=3</x:v>
      </x:c>
      <x:c r="M98" s="36" t="str">
        <x:v>是</x:v>
      </x:c>
      <x:c r="N98" s="36" t="n">
        <x:v>1</x:v>
      </x:c>
      <x:c r="O98" s="36"/>
      <x:c r="P98" s="36" t="n">
        <x:v>2026</x:v>
      </x:c>
    </x:row>
    <x:row r="99">
      <x:c r="A99" s="16" t="str">
        <x:v>WBF-094</x:v>
      </x:c>
      <x:c r="B99" s="16" t="str">
        <x:v>2026-08-03—2026-08-08</x:v>
      </x:c>
      <x:c r="C99" s="16" t="str">
        <x:v>合肥，中国</x:v>
      </x:c>
      <x:c r="D99" s="16" t="str">
        <x:v>第9届世界青年跨国锦标赛</x:v>
      </x:c>
      <x:c r="E99" s="16" t="str">
        <x:v>U26 Pairs</x:v>
      </x:c>
      <x:c r="F99" s="17" t="n">
        <x:v>2</x:v>
      </x:c>
      <x:c r="G99" s="17" t="str">
        <x:v>银牌</x:v>
      </x:c>
      <x:c r="H99" s="16" t="str">
        <x:v>Chongshang Huang – Yuantao Zheng</x:v>
      </x:c>
      <x:c r="I99" s="16" t="str">
        <x:v>Chongshang Huang；Yuantao Zheng</x:v>
      </x:c>
      <x:c r="J99" s="16" t="str">
        <x:v>Chongshang Huang [CHN]；Yuantao Zheng [CHN]</x:v>
      </x:c>
      <x:c r="K99" s="16"/>
      <x:c r="L99" s="16" t="str">
        <x:v>https://db.worldbridge.org/Repository/tourn/hefei.26/microsite/Asp/TotalPairs.asp?qtournid=2665&amp;qgroupno=1&amp;qroundno=3</x:v>
      </x:c>
      <x:c r="M99" s="17" t="str">
        <x:v>否</x:v>
      </x:c>
      <x:c r="N99" s="17" t="n">
        <x:v>2</x:v>
      </x:c>
      <x:c r="O99" s="17"/>
      <x:c r="P99" s="17" t="n">
        <x:v>2026</x:v>
      </x:c>
    </x:row>
    <x:row r="100">
      <x:c r="A100" s="35" t="str">
        <x:v>WBF-095</x:v>
      </x:c>
      <x:c r="B100" s="35" t="str">
        <x:v>2026-08-03—2026-08-08</x:v>
      </x:c>
      <x:c r="C100" s="35" t="str">
        <x:v>合肥，中国</x:v>
      </x:c>
      <x:c r="D100" s="35" t="str">
        <x:v>第9届世界青年跨国锦标赛</x:v>
      </x:c>
      <x:c r="E100" s="35" t="str">
        <x:v>U26 Teams</x:v>
      </x:c>
      <x:c r="F100" s="36" t="n">
        <x:v>2</x:v>
      </x:c>
      <x:c r="G100" s="36" t="str">
        <x:v>银牌</x:v>
      </x:c>
      <x:c r="H100" s="35" t="str">
        <x:v>REIGNWOOD JUNIORS</x:v>
      </x:c>
      <x:c r="I100" s="35" t="str">
        <x:v>Baozhuo Jiang；Hanxi Ma；Ziao Wang</x:v>
      </x:c>
      <x:c r="J100" s="35" t="str">
        <x:v>Baozhuo Jiang [CHN]；Hanxi Ma [CHN]；Ziao Wang [CHN]；Brian Zhang [USA]</x:v>
      </x:c>
      <x:c r="K100" s="35"/>
      <x:c r="L100" s="35" t="str">
        <x:v>https://db.worldbridge.org/Repository/tourn/hefei.26/microsite/results.htm</x:v>
      </x:c>
      <x:c r="M100" s="36" t="str">
        <x:v>是</x:v>
      </x:c>
      <x:c r="N100" s="36" t="n">
        <x:v>3</x:v>
      </x:c>
      <x:c r="O100" s="36"/>
      <x:c r="P100" s="36" t="n">
        <x:v>2026</x:v>
      </x:c>
    </x:row>
    <x:row r="101">
      <x:c r="A101" s="16" t="str">
        <x:v>WBF-096</x:v>
      </x:c>
      <x:c r="B101" s="16" t="str">
        <x:v>2026-08-03—2026-08-08</x:v>
      </x:c>
      <x:c r="C101" s="16" t="str">
        <x:v>合肥，中国</x:v>
      </x:c>
      <x:c r="D101" s="16" t="str">
        <x:v>第9届世界青年跨国锦标赛</x:v>
      </x:c>
      <x:c r="E101" s="16" t="str">
        <x:v>U26 Women Pairs</x:v>
      </x:c>
      <x:c r="F101" s="17" t="n">
        <x:v>1</x:v>
      </x:c>
      <x:c r="G101" s="17" t="str">
        <x:v>金牌</x:v>
      </x:c>
      <x:c r="H101" s="16" t="str">
        <x:v>Wenjing Chen – Wanyi Lian</x:v>
      </x:c>
      <x:c r="I101" s="16" t="str">
        <x:v>Wenjing Chen；Wanyi Lian</x:v>
      </x:c>
      <x:c r="J101" s="16" t="str">
        <x:v>Wenjing Chen [CHN]；Wanyi Lian [CHN]</x:v>
      </x:c>
      <x:c r="K101" s="16"/>
      <x:c r="L101" s="16" t="str">
        <x:v>https://db.worldbridge.org/Repository/tourn/hefei.26/microsite/Asp/TotalPairs.asp?qtournid=2667&amp;qgroupno=1&amp;qroundno=3</x:v>
      </x:c>
      <x:c r="M101" s="17" t="str">
        <x:v>否</x:v>
      </x:c>
      <x:c r="N101" s="17" t="n">
        <x:v>2</x:v>
      </x:c>
      <x:c r="O101" s="17"/>
      <x:c r="P101" s="17" t="n">
        <x:v>2026</x:v>
      </x:c>
    </x:row>
    <x:row r="102">
      <x:c r="A102" s="35" t="str">
        <x:v>WBF-097</x:v>
      </x:c>
      <x:c r="B102" s="35" t="str">
        <x:v>2026-08-03—2026-08-08</x:v>
      </x:c>
      <x:c r="C102" s="35" t="str">
        <x:v>合肥，中国</x:v>
      </x:c>
      <x:c r="D102" s="35" t="str">
        <x:v>第9届世界青年跨国锦标赛</x:v>
      </x:c>
      <x:c r="E102" s="35" t="str">
        <x:v>U26 Women Pairs</x:v>
      </x:c>
      <x:c r="F102" s="36" t="n">
        <x:v>2</x:v>
      </x:c>
      <x:c r="G102" s="36" t="str">
        <x:v>银牌</x:v>
      </x:c>
      <x:c r="H102" s="35" t="str">
        <x:v>Luxi Gong – Wanying Guo</x:v>
      </x:c>
      <x:c r="I102" s="35" t="str">
        <x:v>Luxi Gong；Wanying Guo</x:v>
      </x:c>
      <x:c r="J102" s="35" t="str">
        <x:v>Luxi Gong [CHN]；Wanying Guo [CHN]</x:v>
      </x:c>
      <x:c r="K102" s="35"/>
      <x:c r="L102" s="35" t="str">
        <x:v>https://db.worldbridge.org/Repository/tourn/hefei.26/microsite/Asp/TotalPairs.asp?qtournid=2667&amp;qgroupno=1&amp;qroundno=3</x:v>
      </x:c>
      <x:c r="M102" s="36" t="str">
        <x:v>否</x:v>
      </x:c>
      <x:c r="N102" s="36" t="n">
        <x:v>2</x:v>
      </x:c>
      <x:c r="O102" s="36"/>
      <x:c r="P102" s="36" t="n">
        <x:v>2026</x:v>
      </x:c>
    </x:row>
    <x:row r="103">
      <x:c r="A103" s="16" t="str">
        <x:v>WBF-098</x:v>
      </x:c>
      <x:c r="B103" s="16" t="str">
        <x:v>2026-08-03—2026-08-08</x:v>
      </x:c>
      <x:c r="C103" s="16" t="str">
        <x:v>合肥，中国</x:v>
      </x:c>
      <x:c r="D103" s="16" t="str">
        <x:v>第9届世界青年跨国锦标赛</x:v>
      </x:c>
      <x:c r="E103" s="16" t="str">
        <x:v>U26 Women Teams</x:v>
      </x:c>
      <x:c r="F103" s="17" t="n">
        <x:v>3</x:v>
      </x:c>
      <x:c r="G103" s="17" t="str">
        <x:v>铜牌</x:v>
      </x:c>
      <x:c r="H103" s="16" t="str">
        <x:v>SHANDONG YANTAI</x:v>
      </x:c>
      <x:c r="I103" s="16" t="str">
        <x:v>Tianxin Chi；Can Ge；Ruohan Liu；Yixuan Liu；Ruo Fei Ma；Xihan Zhang</x:v>
      </x:c>
      <x:c r="J103" s="16" t="str">
        <x:v>Tianxin Chi [CHN]；Can Ge [CHN]；Ruohan Liu [CHN]；Yixuan Liu [CHN]；Ruo Fei Ma [CHN]；Xihan Zhang [CHN]</x:v>
      </x:c>
      <x:c r="K103" s="16"/>
      <x:c r="L103" s="16" t="str">
        <x:v>https://db.worldbridge.org/Repository/tourn/hefei.26/microsite/results.htm</x:v>
      </x:c>
      <x:c r="M103" s="17" t="str">
        <x:v>否</x:v>
      </x:c>
      <x:c r="N103" s="17" t="n">
        <x:v>6</x:v>
      </x:c>
      <x:c r="O103" s="17"/>
      <x:c r="P103" s="17" t="n">
        <x:v>2026</x:v>
      </x:c>
    </x:row>
    <x:row r="104">
      <x:c r="A104" s="35" t="str">
        <x:v>WBF-099</x:v>
      </x:c>
      <x:c r="B104" s="35" t="str">
        <x:v>2026-08-03—2026-08-08</x:v>
      </x:c>
      <x:c r="C104" s="35" t="str">
        <x:v>合肥，中国</x:v>
      </x:c>
      <x:c r="D104" s="35" t="str">
        <x:v>第9届世界青年跨国锦标赛</x:v>
      </x:c>
      <x:c r="E104" s="35" t="str">
        <x:v>U31 Pairs</x:v>
      </x:c>
      <x:c r="F104" s="36" t="n">
        <x:v>3</x:v>
      </x:c>
      <x:c r="G104" s="36" t="str">
        <x:v>铜牌</x:v>
      </x:c>
      <x:c r="H104" s="35" t="str">
        <x:v>Jixiao Han – Zian Wang</x:v>
      </x:c>
      <x:c r="I104" s="35" t="str">
        <x:v>Jixiao Han；Zian Wang</x:v>
      </x:c>
      <x:c r="J104" s="35" t="str">
        <x:v>Jixiao Han [CHN]；Zian Wang [CHN]</x:v>
      </x:c>
      <x:c r="K104" s="35"/>
      <x:c r="L104" s="35" t="str">
        <x:v>https://db.worldbridge.org/Repository/tourn/hefei.26/microsite/Asp/TotalPairs.asp?qtournid=2669&amp;qgroupno=1&amp;qroundno=3</x:v>
      </x:c>
      <x:c r="M104" s="36" t="str">
        <x:v>否</x:v>
      </x:c>
      <x:c r="N104" s="36" t="n">
        <x:v>2</x:v>
      </x:c>
      <x:c r="O104" s="36"/>
      <x:c r="P104" s="36" t="n">
        <x:v>2026</x:v>
      </x:c>
    </x:row>
    <x:row r="105">
      <x:c r="A105" s="16" t="str">
        <x:v>WBF-100</x:v>
      </x:c>
      <x:c r="B105" s="16" t="str">
        <x:v>2026-08-03—2026-08-08</x:v>
      </x:c>
      <x:c r="C105" s="16" t="str">
        <x:v>合肥，中国</x:v>
      </x:c>
      <x:c r="D105" s="16" t="str">
        <x:v>第9届世界青年跨国锦标赛</x:v>
      </x:c>
      <x:c r="E105" s="16" t="str">
        <x:v>U31 Teams</x:v>
      </x:c>
      <x:c r="F105" s="17" t="n">
        <x:v>1</x:v>
      </x:c>
      <x:c r="G105" s="17" t="str">
        <x:v>金牌</x:v>
      </x:c>
      <x:c r="H105" s="16" t="str">
        <x:v>AGOOFANS</x:v>
      </x:c>
      <x:c r="I105" s="16" t="str">
        <x:v>Xuanting He；Ziyu Li；Yufan Liao；Pengqiao Qu；Wei Wang；Enzong Wu</x:v>
      </x:c>
      <x:c r="J105" s="16" t="str">
        <x:v>Xuanting He [CHN]；Ziyu Li [CHN]；Yufan Liao [CHN]；Pengqiao Qu [CHN]；Wei Wang [CHN]；Enzong Wu [CHN]</x:v>
      </x:c>
      <x:c r="K105" s="16"/>
      <x:c r="L105" s="16" t="str">
        <x:v>https://db.worldbridge.org/Repository/tourn/hefei.26/microsite/results.htm</x:v>
      </x:c>
      <x:c r="M105" s="17" t="str">
        <x:v>否</x:v>
      </x:c>
      <x:c r="N105" s="17" t="n">
        <x:v>6</x:v>
      </x:c>
      <x:c r="O105" s="17"/>
      <x:c r="P105" s="17" t="n">
        <x:v>2026</x:v>
      </x:c>
    </x:row>
    <x:row r="106">
      <x:c r="A106" s="35" t="str">
        <x:v>WBF-101</x:v>
      </x:c>
      <x:c r="B106" s="35" t="str">
        <x:v>2026-08-03—2026-08-08</x:v>
      </x:c>
      <x:c r="C106" s="35" t="str">
        <x:v>合肥，中国</x:v>
      </x:c>
      <x:c r="D106" s="35" t="str">
        <x:v>第9届世界青年跨国锦标赛</x:v>
      </x:c>
      <x:c r="E106" s="35" t="str">
        <x:v>U31 Teams</x:v>
      </x:c>
      <x:c r="F106" s="36" t="n">
        <x:v>2</x:v>
      </x:c>
      <x:c r="G106" s="36" t="str">
        <x:v>银牌</x:v>
      </x:c>
      <x:c r="H106" s="35" t="str">
        <x:v>CHINA U31</x:v>
      </x:c>
      <x:c r="I106" s="35" t="str">
        <x:v>Jiawen Gu；Jixiao Han；Haochen Liu；Zian Wang；Tianyao Yan；Tianyu Zhang</x:v>
      </x:c>
      <x:c r="J106" s="35" t="str">
        <x:v>Jiawen Gu [CHN]；Jixiao Han [CHN]；Haochen Liu [CHN]；Zian Wang [CHN]；Tianyao Yan [CHN]；Tianyu Zhang [CHN]</x:v>
      </x:c>
      <x:c r="K106" s="35"/>
      <x:c r="L106" s="35" t="str">
        <x:v>https://db.worldbridge.org/Repository/tourn/hefei.26/microsite/results.htm</x:v>
      </x:c>
      <x:c r="M106" s="36" t="str">
        <x:v>否</x:v>
      </x:c>
      <x:c r="N106" s="36" t="n">
        <x:v>6</x:v>
      </x:c>
      <x:c r="O106" s="36"/>
      <x:c r="P106" s="36" t="n">
        <x:v>2026</x:v>
      </x:c>
    </x:row>
  </x:sheetData>
  <x:mergeCells>
    <x:mergeCell ref="A1:P1"/>
    <x:mergeCell ref="A2:P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74" hidden="0" customWidth="1"/>
    <x:col min="4" max="4" width="62" hidden="0" customWidth="1"/>
  </x:cols>
  <x:sheetData>
    <x:row r="1" ht="30" customHeight="1">
      <x:c r="A1" s="3" t="str">
        <x:v>统计口径、核对规则与来源</x:v>
      </x:c>
      <x:c r="B1" s="3"/>
      <x:c r="C1" s="3"/>
      <x:c r="D1" s="3"/>
    </x:row>
    <x:row r="2" ht="52" customHeight="1">
      <x:c r="A2" s="86" t="str">
        <x:v>本版以WBF Past Championships清单逐条复核，并放宽旧个人履历筛选。确认新增2008 U28团体铜牌；邀请赛、分区资格赛、同步赛、B组等全部单列情景，不与正式个人榜混算。</x:v>
      </x:c>
      <x:c r="B2" s="86"/>
      <x:c r="C2" s="86"/>
      <x:c r="D2" s="86"/>
    </x:row>
    <x:row r="4">
      <x:c r="A4" s="20" t="str">
        <x:v>项目</x:v>
      </x:c>
      <x:c r="B4" s="20" t="str">
        <x:v>本表采用的规则</x:v>
      </x:c>
      <x:c r="C4" s="20" t="str">
        <x:v>原因/处理</x:v>
      </x:c>
      <x:c r="D4" s="20" t="str">
        <x:v>来源</x:v>
      </x:c>
    </x:row>
    <x:row r="5">
      <x:c r="A5" s="21" t="str">
        <x:v>数据截止</x:v>
      </x:c>
      <x:c r="B5" s="21" t="str">
        <x:v>2026-08-20（日本时间）</x:v>
      </x:c>
      <x:c r="C5" s="21" t="str">
        <x:v>纳入已结束的2026合肥世界青年跨国锦标赛；当日开赛的2026卡托维兹世界桥牌综合锦标赛尚无最终前三名，未纳入。</x:v>
      </x:c>
      <x:c r="D5" s="21" t="str">
        <x:v>https://www.worldbridge.org/competitions/past-championships-results/</x:v>
      </x:c>
    </x:row>
    <x:row r="6">
      <x:c r="A6" s="21" t="str">
        <x:v>中国范围</x:v>
      </x:c>
      <x:c r="B6" s="21" t="str">
        <x:v>仅 WBF/NBO 代码 CHN</x:v>
      </x:c>
      <x:c r="C6" s="21" t="str">
        <x:v>HKG、MAC、TPE 为WBF独立NBO，不并入；跨国队中只要有CHN选手即纳入该获奖记录，并逐一标注外籍队友NBO。</x:v>
      </x:c>
      <x:c r="D6" s="21" t="str">
        <x:v>WBF成绩库参赛登记</x:v>
      </x:c>
    </x:row>
    <x:row r="7">
      <x:c r="A7" s="21" t="str">
        <x:v>人员范围</x:v>
      </x:c>
      <x:c r="B7" s="21" t="str">
        <x:v>获奖选手（players）</x:v>
      </x:c>
      <x:c r="C7" s="21" t="str">
        <x:v>完整队伍列另列NPC/教练/领队，但不把工作人员计作“中国选手获奖次数”。</x:v>
      </x:c>
      <x:c r="D7" s="21" t="str">
        <x:v>WBF队伍阵容页</x:v>
      </x:c>
    </x:row>
    <x:row r="8">
      <x:c r="A8" s="21" t="str">
        <x:v>正式项目</x:v>
      </x:c>
      <x:c r="B8" s="21" t="str">
        <x:v>WBF奖牌/成绩数据库内的世界锦标赛最终A组正式项目</x:v>
      </x:c>
      <x:c r="C8" s="21" t="str">
        <x:v>含世界团体锦标赛、世界桥牌综合锦标赛/运动会、世界青年团体及青年跨国锦标赛；含正式BAM。</x:v>
      </x:c>
      <x:c r="D8" s="21" t="str">
        <x:v>https://www.worldbridge.org/competitions/past-championships-results/</x:v>
      </x:c>
    </x:row>
    <x:row r="9">
      <x:c r="A9" s="21" t="str">
        <x:v>明确排除</x:v>
      </x:c>
      <x:c r="B9" s="21" t="str">
        <x:v>资格赛、分区赛、Plate、Final B、安慰赛、附加边赛</x:v>
      </x:c>
      <x:c r="C9" s="21" t="str">
        <x:v>它们不是该正式世界冠军项目的最终前三名。</x:v>
      </x:c>
      <x:c r="D9" s="21" t="str">
        <x:v>各届WBF Results页</x:v>
      </x:c>
    </x:row>
    <x:row r="10">
      <x:c r="A10" s="21" t="str">
        <x:v>邀请/表演赛</x:v>
      </x:c>
      <x:c r="B10" s="21" t="str">
        <x:v>未纳入 IOC Grand Prix、SportAccord/IMSA Elite/Masters 等邀请性质赛事</x:v>
      </x:c>
      <x:c r="C10" s="21" t="str">
        <x:v>这些比赛出现在WBF历史档案，但不属于WBF奖牌/大师分数据库同一口径的世界锦标赛冠军项目；避免把邀请赛与公开/国家队世界锦标赛混为一表。</x:v>
      </x:c>
      <x:c r="D10" s="21" t="str">
        <x:v>https://www.worldbridge.org/competitions/past-championships-results/</x:v>
      </x:c>
    </x:row>
    <x:row r="11">
      <x:c r="A11" s="21" t="str">
        <x:v>2009威尼斯杯</x:v>
      </x:c>
      <x:c r="B11" s="21" t="str">
        <x:v>中国队按冠军列全体6名选手</x:v>
      </x:c>
      <x:c r="C11" s="21" t="str">
        <x:v>旧大师分页按上场牌数门槛把部分冠军队员的个人大师分名次显示为第3；正式团体决赛和正式阵容优先。</x:v>
      </x:c>
      <x:c r="D11" s="21" t="str">
        <x:v>https://db.worldbridge.org/Repository/tourn/SaoPaulo.09/SaoPaulo.htm</x:v>
      </x:c>
    </x:row>
    <x:row r="12">
      <x:c r="A12" s="21" t="str">
        <x:v>并列铜牌</x:v>
      </x:c>
      <x:c r="B12" s="21" t="str">
        <x:v>按WBF最终成绩保留；若大师分页合并两支铜牌队，仅拆出含CHN的真实阵容</x:v>
      </x:c>
      <x:c r="C12" s="21" t="str">
        <x:v>例如2014混合团体。</x:v>
      </x:c>
      <x:c r="D12" s="21" t="str">
        <x:v>https://www.wbfmasterpoints.com/Medalsreport.asp</x:v>
      </x:c>
    </x:row>
    <x:row r="13">
      <x:c r="A13" s="21" t="str">
        <x:v>旧青年分类</x:v>
      </x:c>
      <x:c r="B13" s="21" t="str">
        <x:v>Juniors/Youngsters/Girls/Kids 同时附标准年龄组</x:v>
      </x:c>
      <x:c r="C13" s="21" t="str">
        <x:v>大体对应 U26/U21/U26 Women/U16；以当届数据库页面标题为准。</x:v>
      </x:c>
      <x:c r="D13" s="21" t="str">
        <x:v>各届WBF青年赛Results页</x:v>
      </x:c>
    </x:row>
    <x:row r="14">
      <x:c r="A14" s="21" t="str">
        <x:v>姓名映射</x:v>
      </x:c>
      <x:c r="B14" s="21" t="str">
        <x:v>成绩、名次、阵容全部以WBF英文数据库为准；中文新闻只用于英文拼音—中文名对应</x:v>
      </x:c>
      <x:c r="C14" s="21" t="str">
        <x:v>无法可靠核实的中文名留空，不猜译。</x:v>
      </x:c>
      <x:c r="D14" s="21" t="str">
        <x:v>姓名对照工作表</x:v>
      </x:c>
    </x:row>
    <x:row r="15">
      <x:c r="A15" s="21" t="str">
        <x:v>主要数据库</x:v>
      </x:c>
      <x:c r="B15" s="21" t="str">
        <x:v>WBF Master Points medal report；各届 db.worldbridge.org Results/roster pages；WBF championship archive</x:v>
      </x:c>
      <x:c r="C15" s="21" t="str">
        <x:v>现代赛事同时用WBF官方赢家页核对赛期和阵容，但不以新闻决定名次。</x:v>
      </x:c>
      <x:c r="D15" s="21" t="str">
        <x:v>https://www.wbfmasterpoints.com/Medalsreport.asp
https://www.worldbridge.org/competitions/past-championships-results/</x:v>
      </x:c>
    </x:row>
    <x:row r="16">
      <x:c r="A16" s="21" t="str">
        <x:v>数量校验</x:v>
      </x:c>
      <x:c r="B16" s="21" t="str">
        <x:v>获奖记录数与逐人明细由同一份结构化记录自动展开</x:v>
      </x:c>
      <x:c r="C16" s="21" t="str">
        <x:v>防止跨国队外籍队友被误计为CHN。</x:v>
      </x:c>
      <x:c r="D16" s="21" t="str">
        <x:v>本工作簿生成逻辑</x:v>
      </x:c>
    </x:row>
    <x:row r="17">
      <x:c r="A17" s="27" t="str">
        <x:v>自动校验：共 101 条获奖记录；465 条 CHN 选手-获奖明细；252 名不同的 CHN 选手（按WBF英文登记名去重）。</x:v>
      </x:c>
      <x:c r="B17" s="28"/>
      <x:c r="C17" s="28"/>
      <x:c r="D17" s="29"/>
    </x:row>
  </x:sheetData>
  <x:mergeCells>
    <x:mergeCell ref="A1:D1"/>
    <x:mergeCell ref="A2:D2"/>
    <x:mergeCell ref="A17:D1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6" hidden="0" customWidth="1"/>
    <x:col min="4" max="4" width="28" hidden="0" customWidth="1"/>
    <x:col min="5" max="5" width="22" hidden="0" customWidth="1"/>
    <x:col min="6" max="6" width="18" hidden="0" customWidth="1"/>
    <x:col min="7" max="7" width="26" hidden="0" customWidth="1"/>
    <x:col min="8" max="8" width="30" hidden="0" customWidth="1"/>
    <x:col min="9" max="9" width="7" hidden="0" customWidth="1"/>
    <x:col min="10" max="10" width="8" hidden="0" customWidth="1"/>
    <x:col min="11" max="11" width="24" hidden="0" customWidth="1"/>
    <x:col min="12" max="12" width="60" hidden="0" customWidth="1"/>
  </x:cols>
  <x:sheetData>
    <x:row r="1" ht="30" customHeight="1">
      <x:c r="A1" s="39" t="str">
        <x:v>中国选手逐人获奖明细</x:v>
      </x:c>
      <x:c r="B1" s="39"/>
      <x:c r="C1" s="39"/>
      <x:c r="D1" s="39"/>
      <x:c r="E1" s="39"/>
      <x:c r="F1" s="39"/>
      <x:c r="G1" s="39"/>
      <x:c r="H1" s="39"/>
      <x:c r="I1" s="39"/>
      <x:c r="J1" s="39"/>
      <x:c r="K1" s="39"/>
      <x:c r="L1" s="39"/>
    </x:row>
    <x:row r="2" ht="42" customHeight="1">
      <x:c r="A2" s="31" t="str">
        <x:v>一人一次获奖占一行；这里只保留已核实中文名。所有最佳猜测及逐人依据见“中文姓名推断依据”。</x:v>
      </x:c>
      <x:c r="B2" s="31"/>
      <x:c r="C2" s="31"/>
      <x:c r="D2" s="31"/>
      <x:c r="E2" s="31"/>
      <x:c r="F2" s="31"/>
      <x:c r="G2" s="31"/>
      <x:c r="H2" s="31"/>
      <x:c r="I2" s="31"/>
      <x:c r="J2" s="31"/>
      <x:c r="K2" s="31"/>
      <x:c r="L2" s="31"/>
    </x:row>
    <x:row r="4">
      <x:c r="A4" s="46" t="str">
        <x:v>记录ID</x:v>
      </x:c>
      <x:c r="B4" s="46" t="str">
        <x:v>英文姓名（WBF）</x:v>
      </x:c>
      <x:c r="C4" s="46" t="str">
        <x:v>中文姓名</x:v>
      </x:c>
      <x:c r="D4" s="46" t="str">
        <x:v>中文名状态</x:v>
      </x:c>
      <x:c r="E4" s="46" t="str">
        <x:v>比赛时间</x:v>
      </x:c>
      <x:c r="F4" s="46" t="str">
        <x:v>地点</x:v>
      </x:c>
      <x:c r="G4" s="46" t="str">
        <x:v>比赛名称</x:v>
      </x:c>
      <x:c r="H4" s="46" t="str">
        <x:v>项目</x:v>
      </x:c>
      <x:c r="I4" s="46" t="str">
        <x:v>名次</x:v>
      </x:c>
      <x:c r="J4" s="46" t="str">
        <x:v>奖牌</x:v>
      </x:c>
      <x:c r="K4" s="46" t="str">
        <x:v>队/组合</x:v>
      </x:c>
      <x:c r="L4" s="46" t="str">
        <x:v>WBF来源</x:v>
      </x:c>
    </x:row>
    <x:row r="5">
      <x:c r="A5" s="16" t="str">
        <x:v>WBF-001</x:v>
      </x:c>
      <x:c r="B5" s="16" t="str">
        <x:v>Yi Qian Liu</x:v>
      </x:c>
      <x:c r="C5" s="16" t="str">
        <x:v>刘逸倩</x:v>
      </x:c>
      <x:c r="D5" s="16" t="str">
        <x:v>已由中文报道核对</x:v>
      </x:c>
      <x:c r="E5" s="16" t="str">
        <x:v>1991</x:v>
      </x:c>
      <x:c r="F5" s="16" t="str">
        <x:v>横滨，日本</x:v>
      </x:c>
      <x:c r="G5" s="16" t="str">
        <x:v>世界桥牌团体锦标赛</x:v>
      </x:c>
      <x:c r="H5" s="16" t="str">
        <x:v>Venice Cup 女子团体</x:v>
      </x:c>
      <x:c r="I5" s="16" t="n">
        <x:v>3</x:v>
      </x:c>
      <x:c r="J5" s="16" t="str">
        <x:v>铜牌</x:v>
      </x:c>
      <x:c r="K5" s="16" t="str">
        <x:v>CHINA</x:v>
      </x:c>
      <x:c r="L5" s="16" t="str">
        <x:v>https://www.wbfmasterpoints.com/Medalsreport.asp</x:v>
      </x:c>
    </x:row>
    <x:row r="6">
      <x:c r="A6" s="35" t="str">
        <x:v>WBF-001</x:v>
      </x:c>
      <x:c r="B6" s="35" t="str">
        <x:v>Yalan Zhang</x:v>
      </x:c>
      <x:c r="C6" s="35" t="str"/>
      <x:c r="D6" s="35" t="str">
        <x:v>未核实中文写法（最佳猜测及依据见专表）</x:v>
      </x:c>
      <x:c r="E6" s="35" t="str">
        <x:v>1991</x:v>
      </x:c>
      <x:c r="F6" s="35" t="str">
        <x:v>横滨，日本</x:v>
      </x:c>
      <x:c r="G6" s="35" t="str">
        <x:v>世界桥牌团体锦标赛</x:v>
      </x:c>
      <x:c r="H6" s="35" t="str">
        <x:v>Venice Cup 女子团体</x:v>
      </x:c>
      <x:c r="I6" s="35" t="n">
        <x:v>3</x:v>
      </x:c>
      <x:c r="J6" s="35" t="str">
        <x:v>铜牌</x:v>
      </x:c>
      <x:c r="K6" s="35" t="str">
        <x:v>CHINA</x:v>
      </x:c>
      <x:c r="L6" s="35" t="str">
        <x:v>https://www.wbfmasterpoints.com/Medalsreport.asp</x:v>
      </x:c>
    </x:row>
    <x:row r="7">
      <x:c r="A7" s="16" t="str">
        <x:v>WBF-001</x:v>
      </x:c>
      <x:c r="B7" s="16" t="str">
        <x:v>Ming Sun</x:v>
      </x:c>
      <x:c r="C7" s="16" t="str">
        <x:v>孙铭</x:v>
      </x:c>
      <x:c r="D7" s="16" t="str">
        <x:v>已由中文报道核对</x:v>
      </x:c>
      <x:c r="E7" s="16" t="str">
        <x:v>1991</x:v>
      </x:c>
      <x:c r="F7" s="16" t="str">
        <x:v>横滨，日本</x:v>
      </x:c>
      <x:c r="G7" s="16" t="str">
        <x:v>世界桥牌团体锦标赛</x:v>
      </x:c>
      <x:c r="H7" s="16" t="str">
        <x:v>Venice Cup 女子团体</x:v>
      </x:c>
      <x:c r="I7" s="16" t="n">
        <x:v>3</x:v>
      </x:c>
      <x:c r="J7" s="16" t="str">
        <x:v>铜牌</x:v>
      </x:c>
      <x:c r="K7" s="16" t="str">
        <x:v>CHINA</x:v>
      </x:c>
      <x:c r="L7" s="16" t="str">
        <x:v>https://www.wbfmasterpoints.com/Medalsreport.asp</x:v>
      </x:c>
    </x:row>
    <x:row r="8">
      <x:c r="A8" s="35" t="str">
        <x:v>WBF-001</x:v>
      </x:c>
      <x:c r="B8" s="35" t="str">
        <x:v>Ling Gu</x:v>
      </x:c>
      <x:c r="C8" s="35" t="str"/>
      <x:c r="D8" s="35" t="str">
        <x:v>未核实中文写法（最佳猜测及依据见专表）</x:v>
      </x:c>
      <x:c r="E8" s="35" t="str">
        <x:v>1991</x:v>
      </x:c>
      <x:c r="F8" s="35" t="str">
        <x:v>横滨，日本</x:v>
      </x:c>
      <x:c r="G8" s="35" t="str">
        <x:v>世界桥牌团体锦标赛</x:v>
      </x:c>
      <x:c r="H8" s="35" t="str">
        <x:v>Venice Cup 女子团体</x:v>
      </x:c>
      <x:c r="I8" s="35" t="n">
        <x:v>3</x:v>
      </x:c>
      <x:c r="J8" s="35" t="str">
        <x:v>铜牌</x:v>
      </x:c>
      <x:c r="K8" s="35" t="str">
        <x:v>CHINA</x:v>
      </x:c>
      <x:c r="L8" s="35" t="str">
        <x:v>https://www.wbfmasterpoints.com/Medalsreport.asp</x:v>
      </x:c>
    </x:row>
    <x:row r="9">
      <x:c r="A9" s="16" t="str">
        <x:v>WBF-002</x:v>
      </x:c>
      <x:c r="B9" s="16" t="str">
        <x:v>Yu Zhang</x:v>
      </x:c>
      <x:c r="C9" s="16" t="str"/>
      <x:c r="D9" s="16" t="str">
        <x:v>未核实中文写法（最佳猜测及依据见专表）</x:v>
      </x:c>
      <x:c r="E9" s="16" t="str">
        <x:v>1996</x:v>
      </x:c>
      <x:c r="F9" s="16" t="str">
        <x:v>罗得岛，希腊</x:v>
      </x:c>
      <x:c r="G9" s="16" t="str">
        <x:v>世界桥牌团体奥林匹克赛</x:v>
      </x:c>
      <x:c r="H9" s="16" t="str">
        <x:v>女子团体</x:v>
      </x:c>
      <x:c r="I9" s="16" t="n">
        <x:v>2</x:v>
      </x:c>
      <x:c r="J9" s="16" t="str">
        <x:v>银牌</x:v>
      </x:c>
      <x:c r="K9" s="16" t="str">
        <x:v>CHINA</x:v>
      </x:c>
      <x:c r="L9" s="16" t="str">
        <x:v>https://www.wbfmasterpoints.com/Medalsreport.asp</x:v>
      </x:c>
    </x:row>
    <x:row r="10">
      <x:c r="A10" s="35" t="str">
        <x:v>WBF-002</x:v>
      </x:c>
      <x:c r="B10" s="35" t="str">
        <x:v>Hongli Wang</x:v>
      </x:c>
      <x:c r="C10" s="35" t="str">
        <x:v>王宏利</x:v>
      </x:c>
      <x:c r="D10" s="35" t="str">
        <x:v>已由中文报道核对</x:v>
      </x:c>
      <x:c r="E10" s="35" t="str">
        <x:v>1996</x:v>
      </x:c>
      <x:c r="F10" s="35" t="str">
        <x:v>罗得岛，希腊</x:v>
      </x:c>
      <x:c r="G10" s="35" t="str">
        <x:v>世界桥牌团体奥林匹克赛</x:v>
      </x:c>
      <x:c r="H10" s="35" t="str">
        <x:v>女子团体</x:v>
      </x:c>
      <x:c r="I10" s="35" t="n">
        <x:v>2</x:v>
      </x:c>
      <x:c r="J10" s="35" t="str">
        <x:v>银牌</x:v>
      </x:c>
      <x:c r="K10" s="35" t="str">
        <x:v>CHINA</x:v>
      </x:c>
      <x:c r="L10" s="35" t="str">
        <x:v>https://www.wbfmasterpoints.com/Medalsreport.asp</x:v>
      </x:c>
    </x:row>
    <x:row r="11">
      <x:c r="A11" s="16" t="str">
        <x:v>WBF-002</x:v>
      </x:c>
      <x:c r="B11" s="16" t="str">
        <x:v>Wen Fei Wang</x:v>
      </x:c>
      <x:c r="C11" s="16" t="str">
        <x:v>王文霏</x:v>
      </x:c>
      <x:c r="D11" s="16" t="str">
        <x:v>已由中文报道核对</x:v>
      </x:c>
      <x:c r="E11" s="16" t="str">
        <x:v>1996</x:v>
      </x:c>
      <x:c r="F11" s="16" t="str">
        <x:v>罗得岛，希腊</x:v>
      </x:c>
      <x:c r="G11" s="16" t="str">
        <x:v>世界桥牌团体奥林匹克赛</x:v>
      </x:c>
      <x:c r="H11" s="16" t="str">
        <x:v>女子团体</x:v>
      </x:c>
      <x:c r="I11" s="16" t="n">
        <x:v>2</x:v>
      </x:c>
      <x:c r="J11" s="16" t="str">
        <x:v>银牌</x:v>
      </x:c>
      <x:c r="K11" s="16" t="str">
        <x:v>CHINA</x:v>
      </x:c>
      <x:c r="L11" s="16" t="str">
        <x:v>https://www.wbfmasterpoints.com/Medalsreport.asp</x:v>
      </x:c>
    </x:row>
    <x:row r="12">
      <x:c r="A12" s="35" t="str">
        <x:v>WBF-002</x:v>
      </x:c>
      <x:c r="B12" s="35" t="str">
        <x:v>Ming Sun</x:v>
      </x:c>
      <x:c r="C12" s="35" t="str">
        <x:v>孙铭</x:v>
      </x:c>
      <x:c r="D12" s="35" t="str">
        <x:v>已由中文报道核对</x:v>
      </x:c>
      <x:c r="E12" s="35" t="str">
        <x:v>1996</x:v>
      </x:c>
      <x:c r="F12" s="35" t="str">
        <x:v>罗得岛，希腊</x:v>
      </x:c>
      <x:c r="G12" s="35" t="str">
        <x:v>世界桥牌团体奥林匹克赛</x:v>
      </x:c>
      <x:c r="H12" s="35" t="str">
        <x:v>女子团体</x:v>
      </x:c>
      <x:c r="I12" s="35" t="n">
        <x:v>2</x:v>
      </x:c>
      <x:c r="J12" s="35" t="str">
        <x:v>银牌</x:v>
      </x:c>
      <x:c r="K12" s="35" t="str">
        <x:v>CHINA</x:v>
      </x:c>
      <x:c r="L12" s="35" t="str">
        <x:v>https://www.wbfmasterpoints.com/Medalsreport.asp</x:v>
      </x:c>
    </x:row>
    <x:row r="13">
      <x:c r="A13" s="16" t="str">
        <x:v>WBF-002</x:v>
      </x:c>
      <x:c r="B13" s="16" t="str">
        <x:v>Ling Gu</x:v>
      </x:c>
      <x:c r="C13" s="16" t="str"/>
      <x:c r="D13" s="16" t="str">
        <x:v>未核实中文写法（最佳猜测及依据见专表）</x:v>
      </x:c>
      <x:c r="E13" s="16" t="str">
        <x:v>1996</x:v>
      </x:c>
      <x:c r="F13" s="16" t="str">
        <x:v>罗得岛，希腊</x:v>
      </x:c>
      <x:c r="G13" s="16" t="str">
        <x:v>世界桥牌团体奥林匹克赛</x:v>
      </x:c>
      <x:c r="H13" s="16" t="str">
        <x:v>女子团体</x:v>
      </x:c>
      <x:c r="I13" s="16" t="n">
        <x:v>2</x:v>
      </x:c>
      <x:c r="J13" s="16" t="str">
        <x:v>银牌</x:v>
      </x:c>
      <x:c r="K13" s="16" t="str">
        <x:v>CHINA</x:v>
      </x:c>
      <x:c r="L13" s="16" t="str">
        <x:v>https://www.wbfmasterpoints.com/Medalsreport.asp</x:v>
      </x:c>
    </x:row>
    <x:row r="14">
      <x:c r="A14" s="35" t="str">
        <x:v>WBF-002</x:v>
      </x:c>
      <x:c r="B14" s="35" t="str">
        <x:v>Yalan Zhang</x:v>
      </x:c>
      <x:c r="C14" s="35" t="str"/>
      <x:c r="D14" s="35" t="str">
        <x:v>未核实中文写法（最佳猜测及依据见专表）</x:v>
      </x:c>
      <x:c r="E14" s="35" t="str">
        <x:v>1996</x:v>
      </x:c>
      <x:c r="F14" s="35" t="str">
        <x:v>罗得岛，希腊</x:v>
      </x:c>
      <x:c r="G14" s="35" t="str">
        <x:v>世界桥牌团体奥林匹克赛</x:v>
      </x:c>
      <x:c r="H14" s="35" t="str">
        <x:v>女子团体</x:v>
      </x:c>
      <x:c r="I14" s="35" t="n">
        <x:v>2</x:v>
      </x:c>
      <x:c r="J14" s="35" t="str">
        <x:v>银牌</x:v>
      </x:c>
      <x:c r="K14" s="35" t="str">
        <x:v>CHINA</x:v>
      </x:c>
      <x:c r="L14" s="35" t="str">
        <x:v>https://www.wbfmasterpoints.com/Medalsreport.asp</x:v>
      </x:c>
    </x:row>
    <x:row r="15">
      <x:c r="A15" s="16" t="str">
        <x:v>WBF-003</x:v>
      </x:c>
      <x:c r="B15" s="16" t="str">
        <x:v>Wen Fei Wang</x:v>
      </x:c>
      <x:c r="C15" s="16" t="str">
        <x:v>王文霏</x:v>
      </x:c>
      <x:c r="D15" s="16" t="str">
        <x:v>已由中文报道核对</x:v>
      </x:c>
      <x:c r="E15" s="16" t="str">
        <x:v>1997</x:v>
      </x:c>
      <x:c r="F15" s="16" t="str">
        <x:v>哈马马特，突尼斯</x:v>
      </x:c>
      <x:c r="G15" s="16" t="str">
        <x:v>世界桥牌团体锦标赛</x:v>
      </x:c>
      <x:c r="H15" s="16" t="str">
        <x:v>Venice Cup 女子团体</x:v>
      </x:c>
      <x:c r="I15" s="16" t="n">
        <x:v>2</x:v>
      </x:c>
      <x:c r="J15" s="16" t="str">
        <x:v>银牌</x:v>
      </x:c>
      <x:c r="K15" s="16" t="str">
        <x:v>CHINA</x:v>
      </x:c>
      <x:c r="L15" s="16" t="str">
        <x:v>https://www.wbfmasterpoints.com/Medalsreport.asp</x:v>
      </x:c>
    </x:row>
    <x:row r="16">
      <x:c r="A16" s="35" t="str">
        <x:v>WBF-003</x:v>
      </x:c>
      <x:c r="B16" s="35" t="str">
        <x:v>Yu Zhang</x:v>
      </x:c>
      <x:c r="C16" s="35" t="str"/>
      <x:c r="D16" s="35" t="str">
        <x:v>未核实中文写法（最佳猜测及依据见专表）</x:v>
      </x:c>
      <x:c r="E16" s="35" t="str">
        <x:v>1997</x:v>
      </x:c>
      <x:c r="F16" s="35" t="str">
        <x:v>哈马马特，突尼斯</x:v>
      </x:c>
      <x:c r="G16" s="35" t="str">
        <x:v>世界桥牌团体锦标赛</x:v>
      </x:c>
      <x:c r="H16" s="35" t="str">
        <x:v>Venice Cup 女子团体</x:v>
      </x:c>
      <x:c r="I16" s="35" t="n">
        <x:v>2</x:v>
      </x:c>
      <x:c r="J16" s="35" t="str">
        <x:v>银牌</x:v>
      </x:c>
      <x:c r="K16" s="35" t="str">
        <x:v>CHINA</x:v>
      </x:c>
      <x:c r="L16" s="35" t="str">
        <x:v>https://www.wbfmasterpoints.com/Medalsreport.asp</x:v>
      </x:c>
    </x:row>
    <x:row r="17">
      <x:c r="A17" s="16" t="str">
        <x:v>WBF-003</x:v>
      </x:c>
      <x:c r="B17" s="16" t="str">
        <x:v>Yan Lu</x:v>
      </x:c>
      <x:c r="C17" s="16" t="str">
        <x:v>卢燕</x:v>
      </x:c>
      <x:c r="D17" s="16" t="str">
        <x:v>已由中文报道核对</x:v>
      </x:c>
      <x:c r="E17" s="16" t="str">
        <x:v>1997</x:v>
      </x:c>
      <x:c r="F17" s="16" t="str">
        <x:v>哈马马特，突尼斯</x:v>
      </x:c>
      <x:c r="G17" s="16" t="str">
        <x:v>世界桥牌团体锦标赛</x:v>
      </x:c>
      <x:c r="H17" s="16" t="str">
        <x:v>Venice Cup 女子团体</x:v>
      </x:c>
      <x:c r="I17" s="16" t="n">
        <x:v>2</x:v>
      </x:c>
      <x:c r="J17" s="16" t="str">
        <x:v>银牌</x:v>
      </x:c>
      <x:c r="K17" s="16" t="str">
        <x:v>CHINA</x:v>
      </x:c>
      <x:c r="L17" s="16" t="str">
        <x:v>https://www.wbfmasterpoints.com/Medalsreport.asp</x:v>
      </x:c>
    </x:row>
    <x:row r="18">
      <x:c r="A18" s="35" t="str">
        <x:v>WBF-003</x:v>
      </x:c>
      <x:c r="B18" s="35" t="str">
        <x:v>Yalan Zhang</x:v>
      </x:c>
      <x:c r="C18" s="35" t="str"/>
      <x:c r="D18" s="35" t="str">
        <x:v>未核实中文写法（最佳猜测及依据见专表）</x:v>
      </x:c>
      <x:c r="E18" s="35" t="str">
        <x:v>1997</x:v>
      </x:c>
      <x:c r="F18" s="35" t="str">
        <x:v>哈马马特，突尼斯</x:v>
      </x:c>
      <x:c r="G18" s="35" t="str">
        <x:v>世界桥牌团体锦标赛</x:v>
      </x:c>
      <x:c r="H18" s="35" t="str">
        <x:v>Venice Cup 女子团体</x:v>
      </x:c>
      <x:c r="I18" s="35" t="n">
        <x:v>2</x:v>
      </x:c>
      <x:c r="J18" s="35" t="str">
        <x:v>银牌</x:v>
      </x:c>
      <x:c r="K18" s="35" t="str">
        <x:v>CHINA</x:v>
      </x:c>
      <x:c r="L18" s="35" t="str">
        <x:v>https://www.wbfmasterpoints.com/Medalsreport.asp</x:v>
      </x:c>
    </x:row>
    <x:row r="19">
      <x:c r="A19" s="16" t="str">
        <x:v>WBF-003</x:v>
      </x:c>
      <x:c r="B19" s="16" t="str">
        <x:v>Ming Sun</x:v>
      </x:c>
      <x:c r="C19" s="16" t="str">
        <x:v>孙铭</x:v>
      </x:c>
      <x:c r="D19" s="16" t="str">
        <x:v>已由中文报道核对</x:v>
      </x:c>
      <x:c r="E19" s="16" t="str">
        <x:v>1997</x:v>
      </x:c>
      <x:c r="F19" s="16" t="str">
        <x:v>哈马马特，突尼斯</x:v>
      </x:c>
      <x:c r="G19" s="16" t="str">
        <x:v>世界桥牌团体锦标赛</x:v>
      </x:c>
      <x:c r="H19" s="16" t="str">
        <x:v>Venice Cup 女子团体</x:v>
      </x:c>
      <x:c r="I19" s="16" t="n">
        <x:v>2</x:v>
      </x:c>
      <x:c r="J19" s="16" t="str">
        <x:v>银牌</x:v>
      </x:c>
      <x:c r="K19" s="16" t="str">
        <x:v>CHINA</x:v>
      </x:c>
      <x:c r="L19" s="16" t="str">
        <x:v>https://www.wbfmasterpoints.com/Medalsreport.asp</x:v>
      </x:c>
    </x:row>
    <x:row r="20">
      <x:c r="A20" s="35" t="str">
        <x:v>WBF-003</x:v>
      </x:c>
      <x:c r="B20" s="35" t="str">
        <x:v>Ling Gu</x:v>
      </x:c>
      <x:c r="C20" s="35" t="str"/>
      <x:c r="D20" s="35" t="str">
        <x:v>未核实中文写法（最佳猜测及依据见专表）</x:v>
      </x:c>
      <x:c r="E20" s="35" t="str">
        <x:v>1997</x:v>
      </x:c>
      <x:c r="F20" s="35" t="str">
        <x:v>哈马马特，突尼斯</x:v>
      </x:c>
      <x:c r="G20" s="35" t="str">
        <x:v>世界桥牌团体锦标赛</x:v>
      </x:c>
      <x:c r="H20" s="35" t="str">
        <x:v>Venice Cup 女子团体</x:v>
      </x:c>
      <x:c r="I20" s="35" t="n">
        <x:v>2</x:v>
      </x:c>
      <x:c r="J20" s="35" t="str">
        <x:v>银牌</x:v>
      </x:c>
      <x:c r="K20" s="35" t="str">
        <x:v>CHINA</x:v>
      </x:c>
      <x:c r="L20" s="35" t="str">
        <x:v>https://www.wbfmasterpoints.com/Medalsreport.asp</x:v>
      </x:c>
    </x:row>
    <x:row r="21">
      <x:c r="A21" s="16" t="str">
        <x:v>WBF-004</x:v>
      </x:c>
      <x:c r="B21" s="16" t="str">
        <x:v>Haojun Shi</x:v>
      </x:c>
      <x:c r="C21" s="16" t="str"/>
      <x:c r="D21" s="16" t="str">
        <x:v>未核实中文写法（最佳猜测及依据见专表）</x:v>
      </x:c>
      <x:c r="E21" s="16" t="str">
        <x:v>2003</x:v>
      </x:c>
      <x:c r="F21" s="16" t="str">
        <x:v>蒙特卡洛，摩纳哥</x:v>
      </x:c>
      <x:c r="G21" s="16" t="str">
        <x:v>世界桥牌团体锦标赛</x:v>
      </x:c>
      <x:c r="H21" s="16" t="str">
        <x:v>Transnational Open Teams 跨国公开团体</x:v>
      </x:c>
      <x:c r="I21" s="16" t="n">
        <x:v>2</x:v>
      </x:c>
      <x:c r="J21" s="16" t="str">
        <x:v>银牌</x:v>
      </x:c>
      <x:c r="K21" s="16" t="str">
        <x:v>CHINA</x:v>
      </x:c>
      <x:c r="L21" s="16" t="str">
        <x:v>https://www.wbfmasterpoints.com/Medalsreport.asp</x:v>
      </x:c>
    </x:row>
    <x:row r="22">
      <x:c r="A22" s="35" t="str">
        <x:v>WBF-004</x:v>
      </x:c>
      <x:c r="B22" s="35" t="str">
        <x:v>Zejun Zhuang</x:v>
      </x:c>
      <x:c r="C22" s="35" t="str"/>
      <x:c r="D22" s="35" t="str">
        <x:v>未核实中文写法（最佳猜测及依据见专表）</x:v>
      </x:c>
      <x:c r="E22" s="35" t="str">
        <x:v>2003</x:v>
      </x:c>
      <x:c r="F22" s="35" t="str">
        <x:v>蒙特卡洛，摩纳哥</x:v>
      </x:c>
      <x:c r="G22" s="35" t="str">
        <x:v>世界桥牌团体锦标赛</x:v>
      </x:c>
      <x:c r="H22" s="35" t="str">
        <x:v>Transnational Open Teams 跨国公开团体</x:v>
      </x:c>
      <x:c r="I22" s="35" t="n">
        <x:v>2</x:v>
      </x:c>
      <x:c r="J22" s="35" t="str">
        <x:v>银牌</x:v>
      </x:c>
      <x:c r="K22" s="35" t="str">
        <x:v>CHINA</x:v>
      </x:c>
      <x:c r="L22" s="35" t="str">
        <x:v>https://www.wbfmasterpoints.com/Medalsreport.asp</x:v>
      </x:c>
    </x:row>
    <x:row r="23">
      <x:c r="A23" s="16" t="str">
        <x:v>WBF-004</x:v>
      </x:c>
      <x:c r="B23" s="16" t="str">
        <x:v>Zhong Fu</x:v>
      </x:c>
      <x:c r="C23" s="16" t="str">
        <x:v>福中</x:v>
      </x:c>
      <x:c r="D23" s="16" t="str">
        <x:v>已由中文报道核对</x:v>
      </x:c>
      <x:c r="E23" s="16" t="str">
        <x:v>2003</x:v>
      </x:c>
      <x:c r="F23" s="16" t="str">
        <x:v>蒙特卡洛，摩纳哥</x:v>
      </x:c>
      <x:c r="G23" s="16" t="str">
        <x:v>世界桥牌团体锦标赛</x:v>
      </x:c>
      <x:c r="H23" s="16" t="str">
        <x:v>Transnational Open Teams 跨国公开团体</x:v>
      </x:c>
      <x:c r="I23" s="16" t="n">
        <x:v>2</x:v>
      </x:c>
      <x:c r="J23" s="16" t="str">
        <x:v>银牌</x:v>
      </x:c>
      <x:c r="K23" s="16" t="str">
        <x:v>CHINA</x:v>
      </x:c>
      <x:c r="L23" s="16" t="str">
        <x:v>https://www.wbfmasterpoints.com/Medalsreport.asp</x:v>
      </x:c>
    </x:row>
    <x:row r="24">
      <x:c r="A24" s="35" t="str">
        <x:v>WBF-004</x:v>
      </x:c>
      <x:c r="B24" s="35" t="str">
        <x:v>Weimin Wang</x:v>
      </x:c>
      <x:c r="C24" s="35" t="str"/>
      <x:c r="D24" s="35" t="str">
        <x:v>未核实中文写法（最佳猜测及依据见专表）</x:v>
      </x:c>
      <x:c r="E24" s="35" t="str">
        <x:v>2003</x:v>
      </x:c>
      <x:c r="F24" s="35" t="str">
        <x:v>蒙特卡洛，摩纳哥</x:v>
      </x:c>
      <x:c r="G24" s="35" t="str">
        <x:v>世界桥牌团体锦标赛</x:v>
      </x:c>
      <x:c r="H24" s="35" t="str">
        <x:v>Transnational Open Teams 跨国公开团体</x:v>
      </x:c>
      <x:c r="I24" s="35" t="n">
        <x:v>2</x:v>
      </x:c>
      <x:c r="J24" s="35" t="str">
        <x:v>银牌</x:v>
      </x:c>
      <x:c r="K24" s="35" t="str">
        <x:v>CHINA</x:v>
      </x:c>
      <x:c r="L24" s="35" t="str">
        <x:v>https://www.wbfmasterpoints.com/Medalsreport.asp</x:v>
      </x:c>
    </x:row>
    <x:row r="25">
      <x:c r="A25" s="16" t="str">
        <x:v>WBF-004</x:v>
      </x:c>
      <x:c r="B25" s="16" t="str">
        <x:v>Jie Zhao</x:v>
      </x:c>
      <x:c r="C25" s="16" t="str">
        <x:v>赵杰</x:v>
      </x:c>
      <x:c r="D25" s="16" t="str">
        <x:v>已由中文报道核对</x:v>
      </x:c>
      <x:c r="E25" s="16" t="str">
        <x:v>2003</x:v>
      </x:c>
      <x:c r="F25" s="16" t="str">
        <x:v>蒙特卡洛，摩纳哥</x:v>
      </x:c>
      <x:c r="G25" s="16" t="str">
        <x:v>世界桥牌团体锦标赛</x:v>
      </x:c>
      <x:c r="H25" s="16" t="str">
        <x:v>Transnational Open Teams 跨国公开团体</x:v>
      </x:c>
      <x:c r="I25" s="16" t="n">
        <x:v>2</x:v>
      </x:c>
      <x:c r="J25" s="16" t="str">
        <x:v>银牌</x:v>
      </x:c>
      <x:c r="K25" s="16" t="str">
        <x:v>CHINA</x:v>
      </x:c>
      <x:c r="L25" s="16" t="str">
        <x:v>https://www.wbfmasterpoints.com/Medalsreport.asp</x:v>
      </x:c>
    </x:row>
    <x:row r="26">
      <x:c r="A26" s="35" t="str">
        <x:v>WBF-005</x:v>
      </x:c>
      <x:c r="B26" s="35" t="str">
        <x:v>Liping Wang</x:v>
      </x:c>
      <x:c r="C26" s="35" t="str"/>
      <x:c r="D26" s="35" t="str">
        <x:v>未核实中文写法（最佳猜测及依据见专表）</x:v>
      </x:c>
      <x:c r="E26" s="35" t="str">
        <x:v>2003</x:v>
      </x:c>
      <x:c r="F26" s="35" t="str">
        <x:v>蒙特卡洛，摩纳哥</x:v>
      </x:c>
      <x:c r="G26" s="35" t="str">
        <x:v>世界桥牌团体锦标赛</x:v>
      </x:c>
      <x:c r="H26" s="35" t="str">
        <x:v>Venice Cup 女子团体</x:v>
      </x:c>
      <x:c r="I26" s="35" t="n">
        <x:v>2</x:v>
      </x:c>
      <x:c r="J26" s="35" t="str">
        <x:v>银牌</x:v>
      </x:c>
      <x:c r="K26" s="35" t="str">
        <x:v>CHINA</x:v>
      </x:c>
      <x:c r="L26" s="35" t="str">
        <x:v>https://www.wbfmasterpoints.com/Medalsreport.asp</x:v>
      </x:c>
    </x:row>
    <x:row r="27">
      <x:c r="A27" s="16" t="str">
        <x:v>WBF-005</x:v>
      </x:c>
      <x:c r="B27" s="16" t="str">
        <x:v>Hongli Wang</x:v>
      </x:c>
      <x:c r="C27" s="16" t="str">
        <x:v>王宏利</x:v>
      </x:c>
      <x:c r="D27" s="16" t="str">
        <x:v>已由中文报道核对</x:v>
      </x:c>
      <x:c r="E27" s="16" t="str">
        <x:v>2003</x:v>
      </x:c>
      <x:c r="F27" s="16" t="str">
        <x:v>蒙特卡洛，摩纳哥</x:v>
      </x:c>
      <x:c r="G27" s="16" t="str">
        <x:v>世界桥牌团体锦标赛</x:v>
      </x:c>
      <x:c r="H27" s="16" t="str">
        <x:v>Venice Cup 女子团体</x:v>
      </x:c>
      <x:c r="I27" s="16" t="n">
        <x:v>2</x:v>
      </x:c>
      <x:c r="J27" s="16" t="str">
        <x:v>银牌</x:v>
      </x:c>
      <x:c r="K27" s="16" t="str">
        <x:v>CHINA</x:v>
      </x:c>
      <x:c r="L27" s="16" t="str">
        <x:v>https://www.wbfmasterpoints.com/Medalsreport.asp</x:v>
      </x:c>
    </x:row>
    <x:row r="28">
      <x:c r="A28" s="35" t="str">
        <x:v>WBF-005</x:v>
      </x:c>
      <x:c r="B28" s="35" t="str">
        <x:v>Wen Fei Wang</x:v>
      </x:c>
      <x:c r="C28" s="35" t="str">
        <x:v>王文霏</x:v>
      </x:c>
      <x:c r="D28" s="35" t="str">
        <x:v>已由中文报道核对</x:v>
      </x:c>
      <x:c r="E28" s="35" t="str">
        <x:v>2003</x:v>
      </x:c>
      <x:c r="F28" s="35" t="str">
        <x:v>蒙特卡洛，摩纳哥</x:v>
      </x:c>
      <x:c r="G28" s="35" t="str">
        <x:v>世界桥牌团体锦标赛</x:v>
      </x:c>
      <x:c r="H28" s="35" t="str">
        <x:v>Venice Cup 女子团体</x:v>
      </x:c>
      <x:c r="I28" s="35" t="n">
        <x:v>2</x:v>
      </x:c>
      <x:c r="J28" s="35" t="str">
        <x:v>银牌</x:v>
      </x:c>
      <x:c r="K28" s="35" t="str">
        <x:v>CHINA</x:v>
      </x:c>
      <x:c r="L28" s="35" t="str">
        <x:v>https://www.wbfmasterpoints.com/Medalsreport.asp</x:v>
      </x:c>
    </x:row>
    <x:row r="29">
      <x:c r="A29" s="16" t="str">
        <x:v>WBF-005</x:v>
      </x:c>
      <x:c r="B29" s="16" t="str">
        <x:v>Yalan Zhang</x:v>
      </x:c>
      <x:c r="C29" s="16" t="str"/>
      <x:c r="D29" s="16" t="str">
        <x:v>未核实中文写法（最佳猜测及依据见专表）</x:v>
      </x:c>
      <x:c r="E29" s="16" t="str">
        <x:v>2003</x:v>
      </x:c>
      <x:c r="F29" s="16" t="str">
        <x:v>蒙特卡洛，摩纳哥</x:v>
      </x:c>
      <x:c r="G29" s="16" t="str">
        <x:v>世界桥牌团体锦标赛</x:v>
      </x:c>
      <x:c r="H29" s="16" t="str">
        <x:v>Venice Cup 女子团体</x:v>
      </x:c>
      <x:c r="I29" s="16" t="n">
        <x:v>2</x:v>
      </x:c>
      <x:c r="J29" s="16" t="str">
        <x:v>银牌</x:v>
      </x:c>
      <x:c r="K29" s="16" t="str">
        <x:v>CHINA</x:v>
      </x:c>
      <x:c r="L29" s="16" t="str">
        <x:v>https://www.wbfmasterpoints.com/Medalsreport.asp</x:v>
      </x:c>
    </x:row>
    <x:row r="30">
      <x:c r="A30" s="35" t="str">
        <x:v>WBF-005</x:v>
      </x:c>
      <x:c r="B30" s="35" t="str">
        <x:v>Yu Zhang</x:v>
      </x:c>
      <x:c r="C30" s="35" t="str"/>
      <x:c r="D30" s="35" t="str">
        <x:v>未核实中文写法（最佳猜测及依据见专表）</x:v>
      </x:c>
      <x:c r="E30" s="35" t="str">
        <x:v>2003</x:v>
      </x:c>
      <x:c r="F30" s="35" t="str">
        <x:v>蒙特卡洛，摩纳哥</x:v>
      </x:c>
      <x:c r="G30" s="35" t="str">
        <x:v>世界桥牌团体锦标赛</x:v>
      </x:c>
      <x:c r="H30" s="35" t="str">
        <x:v>Venice Cup 女子团体</x:v>
      </x:c>
      <x:c r="I30" s="35" t="n">
        <x:v>2</x:v>
      </x:c>
      <x:c r="J30" s="35" t="str">
        <x:v>银牌</x:v>
      </x:c>
      <x:c r="K30" s="35" t="str">
        <x:v>CHINA</x:v>
      </x:c>
      <x:c r="L30" s="35" t="str">
        <x:v>https://www.wbfmasterpoints.com/Medalsreport.asp</x:v>
      </x:c>
    </x:row>
    <x:row r="31">
      <x:c r="A31" s="16" t="str">
        <x:v>WBF-005</x:v>
      </x:c>
      <x:c r="B31" s="16" t="str">
        <x:v>Ling Gu</x:v>
      </x:c>
      <x:c r="C31" s="16" t="str"/>
      <x:c r="D31" s="16" t="str">
        <x:v>未核实中文写法（最佳猜测及依据见专表）</x:v>
      </x:c>
      <x:c r="E31" s="16" t="str">
        <x:v>2003</x:v>
      </x:c>
      <x:c r="F31" s="16" t="str">
        <x:v>蒙特卡洛，摩纳哥</x:v>
      </x:c>
      <x:c r="G31" s="16" t="str">
        <x:v>世界桥牌团体锦标赛</x:v>
      </x:c>
      <x:c r="H31" s="16" t="str">
        <x:v>Venice Cup 女子团体</x:v>
      </x:c>
      <x:c r="I31" s="16" t="n">
        <x:v>2</x:v>
      </x:c>
      <x:c r="J31" s="16" t="str">
        <x:v>银牌</x:v>
      </x:c>
      <x:c r="K31" s="16" t="str">
        <x:v>CHINA</x:v>
      </x:c>
      <x:c r="L31" s="16" t="str">
        <x:v>https://www.wbfmasterpoints.com/Medalsreport.asp</x:v>
      </x:c>
    </x:row>
    <x:row r="32">
      <x:c r="A32" s="35" t="str">
        <x:v>WBF-006</x:v>
      </x:c>
      <x:c r="B32" s="35" t="str">
        <x:v>Qinghong Zhou</x:v>
      </x:c>
      <x:c r="C32" s="35" t="str"/>
      <x:c r="D32" s="35" t="str">
        <x:v>未核实中文写法（最佳猜测及依据见专表）</x:v>
      </x:c>
      <x:c r="E32" s="35" t="str">
        <x:v>2004</x:v>
      </x:c>
      <x:c r="F32" s="35" t="str">
        <x:v>伊斯坦布尔，土耳其</x:v>
      </x:c>
      <x:c r="G32" s="35" t="str">
        <x:v>世界桥牌奥林匹克赛</x:v>
      </x:c>
      <x:c r="H32" s="35" t="str">
        <x:v>Transnational Mixed Teams 跨国混合团体</x:v>
      </x:c>
      <x:c r="I32" s="35" t="n">
        <x:v>3</x:v>
      </x:c>
      <x:c r="J32" s="35" t="str">
        <x:v>铜牌</x:v>
      </x:c>
      <x:c r="K32" s="35" t="str">
        <x:v>CHINA</x:v>
      </x:c>
      <x:c r="L32" s="35" t="str">
        <x:v>https://www.wbfmasterpoints.com/Medalsreport.asp</x:v>
      </x:c>
    </x:row>
    <x:row r="33">
      <x:c r="A33" s="16" t="str">
        <x:v>WBF-006</x:v>
      </x:c>
      <x:c r="B33" s="16" t="str">
        <x:v>Liping Wang</x:v>
      </x:c>
      <x:c r="C33" s="16" t="str"/>
      <x:c r="D33" s="16" t="str">
        <x:v>未核实中文写法（最佳猜测及依据见专表）</x:v>
      </x:c>
      <x:c r="E33" s="16" t="str">
        <x:v>2004</x:v>
      </x:c>
      <x:c r="F33" s="16" t="str">
        <x:v>伊斯坦布尔，土耳其</x:v>
      </x:c>
      <x:c r="G33" s="16" t="str">
        <x:v>世界桥牌奥林匹克赛</x:v>
      </x:c>
      <x:c r="H33" s="16" t="str">
        <x:v>Transnational Mixed Teams 跨国混合团体</x:v>
      </x:c>
      <x:c r="I33" s="16" t="n">
        <x:v>3</x:v>
      </x:c>
      <x:c r="J33" s="16" t="str">
        <x:v>铜牌</x:v>
      </x:c>
      <x:c r="K33" s="16" t="str">
        <x:v>CHINA</x:v>
      </x:c>
      <x:c r="L33" s="16" t="str">
        <x:v>https://www.wbfmasterpoints.com/Medalsreport.asp</x:v>
      </x:c>
    </x:row>
    <x:row r="34">
      <x:c r="A34" s="35" t="str">
        <x:v>WBF-006</x:v>
      </x:c>
      <x:c r="B34" s="35" t="str">
        <x:v>Zhong Fu</x:v>
      </x:c>
      <x:c r="C34" s="35" t="str">
        <x:v>福中</x:v>
      </x:c>
      <x:c r="D34" s="35" t="str">
        <x:v>已由中文报道核对</x:v>
      </x:c>
      <x:c r="E34" s="35" t="str">
        <x:v>2004</x:v>
      </x:c>
      <x:c r="F34" s="35" t="str">
        <x:v>伊斯坦布尔，土耳其</x:v>
      </x:c>
      <x:c r="G34" s="35" t="str">
        <x:v>世界桥牌奥林匹克赛</x:v>
      </x:c>
      <x:c r="H34" s="35" t="str">
        <x:v>Transnational Mixed Teams 跨国混合团体</x:v>
      </x:c>
      <x:c r="I34" s="35" t="n">
        <x:v>3</x:v>
      </x:c>
      <x:c r="J34" s="35" t="str">
        <x:v>铜牌</x:v>
      </x:c>
      <x:c r="K34" s="35" t="str">
        <x:v>CHINA</x:v>
      </x:c>
      <x:c r="L34" s="35" t="str">
        <x:v>https://www.wbfmasterpoints.com/Medalsreport.asp</x:v>
      </x:c>
    </x:row>
    <x:row r="35">
      <x:c r="A35" s="16" t="str">
        <x:v>WBF-006</x:v>
      </x:c>
      <x:c r="B35" s="16" t="str">
        <x:v>Weimin Wang</x:v>
      </x:c>
      <x:c r="C35" s="16" t="str"/>
      <x:c r="D35" s="16" t="str">
        <x:v>未核实中文写法（最佳猜测及依据见专表）</x:v>
      </x:c>
      <x:c r="E35" s="16" t="str">
        <x:v>2004</x:v>
      </x:c>
      <x:c r="F35" s="16" t="str">
        <x:v>伊斯坦布尔，土耳其</x:v>
      </x:c>
      <x:c r="G35" s="16" t="str">
        <x:v>世界桥牌奥林匹克赛</x:v>
      </x:c>
      <x:c r="H35" s="16" t="str">
        <x:v>Transnational Mixed Teams 跨国混合团体</x:v>
      </x:c>
      <x:c r="I35" s="16" t="n">
        <x:v>3</x:v>
      </x:c>
      <x:c r="J35" s="16" t="str">
        <x:v>铜牌</x:v>
      </x:c>
      <x:c r="K35" s="16" t="str">
        <x:v>CHINA</x:v>
      </x:c>
      <x:c r="L35" s="16" t="str">
        <x:v>https://www.wbfmasterpoints.com/Medalsreport.asp</x:v>
      </x:c>
    </x:row>
    <x:row r="36">
      <x:c r="A36" s="35" t="str">
        <x:v>WBF-006</x:v>
      </x:c>
      <x:c r="B36" s="35" t="str">
        <x:v>Yan Lu</x:v>
      </x:c>
      <x:c r="C36" s="35" t="str">
        <x:v>卢燕</x:v>
      </x:c>
      <x:c r="D36" s="35" t="str">
        <x:v>已由中文报道核对</x:v>
      </x:c>
      <x:c r="E36" s="35" t="str">
        <x:v>2004</x:v>
      </x:c>
      <x:c r="F36" s="35" t="str">
        <x:v>伊斯坦布尔，土耳其</x:v>
      </x:c>
      <x:c r="G36" s="35" t="str">
        <x:v>世界桥牌奥林匹克赛</x:v>
      </x:c>
      <x:c r="H36" s="35" t="str">
        <x:v>Transnational Mixed Teams 跨国混合团体</x:v>
      </x:c>
      <x:c r="I36" s="35" t="n">
        <x:v>3</x:v>
      </x:c>
      <x:c r="J36" s="35" t="str">
        <x:v>铜牌</x:v>
      </x:c>
      <x:c r="K36" s="35" t="str">
        <x:v>CHINA</x:v>
      </x:c>
      <x:c r="L36" s="35" t="str">
        <x:v>https://www.wbfmasterpoints.com/Medalsreport.asp</x:v>
      </x:c>
    </x:row>
    <x:row r="37">
      <x:c r="A37" s="16" t="str">
        <x:v>WBF-006</x:v>
      </x:c>
      <x:c r="B37" s="16" t="str">
        <x:v>Ming Sun</x:v>
      </x:c>
      <x:c r="C37" s="16" t="str">
        <x:v>孙铭</x:v>
      </x:c>
      <x:c r="D37" s="16" t="str">
        <x:v>已由中文报道核对</x:v>
      </x:c>
      <x:c r="E37" s="16" t="str">
        <x:v>2004</x:v>
      </x:c>
      <x:c r="F37" s="16" t="str">
        <x:v>伊斯坦布尔，土耳其</x:v>
      </x:c>
      <x:c r="G37" s="16" t="str">
        <x:v>世界桥牌奥林匹克赛</x:v>
      </x:c>
      <x:c r="H37" s="16" t="str">
        <x:v>Transnational Mixed Teams 跨国混合团体</x:v>
      </x:c>
      <x:c r="I37" s="16" t="n">
        <x:v>3</x:v>
      </x:c>
      <x:c r="J37" s="16" t="str">
        <x:v>铜牌</x:v>
      </x:c>
      <x:c r="K37" s="16" t="str">
        <x:v>CHINA</x:v>
      </x:c>
      <x:c r="L37" s="16" t="str">
        <x:v>https://www.wbfmasterpoints.com/Medalsreport.asp</x:v>
      </x:c>
    </x:row>
    <x:row r="38">
      <x:c r="A38" s="35" t="str">
        <x:v>WBF-007</x:v>
      </x:c>
      <x:c r="B38" s="35" t="str">
        <x:v>Zhong Fu</x:v>
      </x:c>
      <x:c r="C38" s="35" t="str">
        <x:v>福中</x:v>
      </x:c>
      <x:c r="D38" s="35" t="str">
        <x:v>已由中文报道核对</x:v>
      </x:c>
      <x:c r="E38" s="35" t="str">
        <x:v>2006-06</x:v>
      </x:c>
      <x:c r="F38" s="35" t="str">
        <x:v>维罗纳，意大利</x:v>
      </x:c>
      <x:c r="G38" s="35" t="str">
        <x:v>世界桥牌综合锦标赛</x:v>
      </x:c>
      <x:c r="H38" s="35" t="str">
        <x:v>Open Pairs 公开双人</x:v>
      </x:c>
      <x:c r="I38" s="35" t="n">
        <x:v>1</x:v>
      </x:c>
      <x:c r="J38" s="35" t="str">
        <x:v>金牌</x:v>
      </x:c>
      <x:c r="K38" s="35" t="str">
        <x:v>Zhong Fu – Jie Zhao</x:v>
      </x:c>
      <x:c r="L38" s="35" t="str">
        <x:v>https://www.wbfmasterpoints.com/Medalsreport.asp</x:v>
      </x:c>
    </x:row>
    <x:row r="39">
      <x:c r="A39" s="16" t="str">
        <x:v>WBF-007</x:v>
      </x:c>
      <x:c r="B39" s="16" t="str">
        <x:v>Jie Zhao</x:v>
      </x:c>
      <x:c r="C39" s="16" t="str">
        <x:v>赵杰</x:v>
      </x:c>
      <x:c r="D39" s="16" t="str">
        <x:v>已由中文报道核对</x:v>
      </x:c>
      <x:c r="E39" s="16" t="str">
        <x:v>2006-06</x:v>
      </x:c>
      <x:c r="F39" s="16" t="str">
        <x:v>维罗纳，意大利</x:v>
      </x:c>
      <x:c r="G39" s="16" t="str">
        <x:v>世界桥牌综合锦标赛</x:v>
      </x:c>
      <x:c r="H39" s="16" t="str">
        <x:v>Open Pairs 公开双人</x:v>
      </x:c>
      <x:c r="I39" s="16" t="n">
        <x:v>1</x:v>
      </x:c>
      <x:c r="J39" s="16" t="str">
        <x:v>金牌</x:v>
      </x:c>
      <x:c r="K39" s="16" t="str">
        <x:v>Zhong Fu – Jie Zhao</x:v>
      </x:c>
      <x:c r="L39" s="16" t="str">
        <x:v>https://www.wbfmasterpoints.com/Medalsreport.asp</x:v>
      </x:c>
    </x:row>
    <x:row r="40">
      <x:c r="A40" s="35" t="str">
        <x:v>WBF-008</x:v>
      </x:c>
      <x:c r="B40" s="35" t="str">
        <x:v>Hongli Wang</x:v>
      </x:c>
      <x:c r="C40" s="35" t="str">
        <x:v>王宏利</x:v>
      </x:c>
      <x:c r="D40" s="35" t="str">
        <x:v>已由中文报道核对</x:v>
      </x:c>
      <x:c r="E40" s="35" t="str">
        <x:v>2006-06</x:v>
      </x:c>
      <x:c r="F40" s="35" t="str">
        <x:v>维罗纳，意大利</x:v>
      </x:c>
      <x:c r="G40" s="35" t="str">
        <x:v>世界桥牌综合锦标赛</x:v>
      </x:c>
      <x:c r="H40" s="35" t="str">
        <x:v>Women Pairs 女子双人</x:v>
      </x:c>
      <x:c r="I40" s="35" t="n">
        <x:v>2</x:v>
      </x:c>
      <x:c r="J40" s="35" t="str">
        <x:v>银牌</x:v>
      </x:c>
      <x:c r="K40" s="35" t="str">
        <x:v>Hongli Wang – Wen Fei Wang</x:v>
      </x:c>
      <x:c r="L40" s="35" t="str">
        <x:v>https://www.wbfmasterpoints.com/Medalsreport.asp</x:v>
      </x:c>
    </x:row>
    <x:row r="41">
      <x:c r="A41" s="16" t="str">
        <x:v>WBF-008</x:v>
      </x:c>
      <x:c r="B41" s="16" t="str">
        <x:v>Wen Fei Wang</x:v>
      </x:c>
      <x:c r="C41" s="16" t="str">
        <x:v>王文霏</x:v>
      </x:c>
      <x:c r="D41" s="16" t="str">
        <x:v>已由中文报道核对</x:v>
      </x:c>
      <x:c r="E41" s="16" t="str">
        <x:v>2006-06</x:v>
      </x:c>
      <x:c r="F41" s="16" t="str">
        <x:v>维罗纳，意大利</x:v>
      </x:c>
      <x:c r="G41" s="16" t="str">
        <x:v>世界桥牌综合锦标赛</x:v>
      </x:c>
      <x:c r="H41" s="16" t="str">
        <x:v>Women Pairs 女子双人</x:v>
      </x:c>
      <x:c r="I41" s="16" t="n">
        <x:v>2</x:v>
      </x:c>
      <x:c r="J41" s="16" t="str">
        <x:v>银牌</x:v>
      </x:c>
      <x:c r="K41" s="16" t="str">
        <x:v>Hongli Wang – Wen Fei Wang</x:v>
      </x:c>
      <x:c r="L41" s="16" t="str">
        <x:v>https://www.wbfmasterpoints.com/Medalsreport.asp</x:v>
      </x:c>
    </x:row>
    <x:row r="42">
      <x:c r="A42" s="35" t="str">
        <x:v>WBF-009</x:v>
      </x:c>
      <x:c r="B42" s="35" t="str">
        <x:v>Yalan Zhang</x:v>
      </x:c>
      <x:c r="C42" s="35" t="str"/>
      <x:c r="D42" s="35" t="str">
        <x:v>未核实中文写法（最佳猜测及依据见专表）</x:v>
      </x:c>
      <x:c r="E42" s="35" t="str">
        <x:v>2007</x:v>
      </x:c>
      <x:c r="F42" s="35" t="str">
        <x:v>上海，中国</x:v>
      </x:c>
      <x:c r="G42" s="35" t="str">
        <x:v>世界桥牌团体锦标赛</x:v>
      </x:c>
      <x:c r="H42" s="35" t="str">
        <x:v>Venice Cup 女子团体</x:v>
      </x:c>
      <x:c r="I42" s="35" t="n">
        <x:v>3</x:v>
      </x:c>
      <x:c r="J42" s="35" t="str">
        <x:v>铜牌</x:v>
      </x:c>
      <x:c r="K42" s="35" t="str">
        <x:v>CHINA</x:v>
      </x:c>
      <x:c r="L42" s="35" t="str">
        <x:v>https://www.wbfmasterpoints.com/Medalsreport.asp</x:v>
      </x:c>
    </x:row>
    <x:row r="43">
      <x:c r="A43" s="16" t="str">
        <x:v>WBF-009</x:v>
      </x:c>
      <x:c r="B43" s="16" t="str">
        <x:v>Ming Sun</x:v>
      </x:c>
      <x:c r="C43" s="16" t="str">
        <x:v>孙铭</x:v>
      </x:c>
      <x:c r="D43" s="16" t="str">
        <x:v>已由中文报道核对</x:v>
      </x:c>
      <x:c r="E43" s="16" t="str">
        <x:v>2007</x:v>
      </x:c>
      <x:c r="F43" s="16" t="str">
        <x:v>上海，中国</x:v>
      </x:c>
      <x:c r="G43" s="16" t="str">
        <x:v>世界桥牌团体锦标赛</x:v>
      </x:c>
      <x:c r="H43" s="16" t="str">
        <x:v>Venice Cup 女子团体</x:v>
      </x:c>
      <x:c r="I43" s="16" t="n">
        <x:v>3</x:v>
      </x:c>
      <x:c r="J43" s="16" t="str">
        <x:v>铜牌</x:v>
      </x:c>
      <x:c r="K43" s="16" t="str">
        <x:v>CHINA</x:v>
      </x:c>
      <x:c r="L43" s="16" t="str">
        <x:v>https://www.wbfmasterpoints.com/Medalsreport.asp</x:v>
      </x:c>
    </x:row>
    <x:row r="44">
      <x:c r="A44" s="35" t="str">
        <x:v>WBF-009</x:v>
      </x:c>
      <x:c r="B44" s="35" t="str">
        <x:v>Ling Gu</x:v>
      </x:c>
      <x:c r="C44" s="35" t="str"/>
      <x:c r="D44" s="35" t="str">
        <x:v>未核实中文写法（最佳猜测及依据见专表）</x:v>
      </x:c>
      <x:c r="E44" s="35" t="str">
        <x:v>2007</x:v>
      </x:c>
      <x:c r="F44" s="35" t="str">
        <x:v>上海，中国</x:v>
      </x:c>
      <x:c r="G44" s="35" t="str">
        <x:v>世界桥牌团体锦标赛</x:v>
      </x:c>
      <x:c r="H44" s="35" t="str">
        <x:v>Venice Cup 女子团体</x:v>
      </x:c>
      <x:c r="I44" s="35" t="n">
        <x:v>3</x:v>
      </x:c>
      <x:c r="J44" s="35" t="str">
        <x:v>铜牌</x:v>
      </x:c>
      <x:c r="K44" s="35" t="str">
        <x:v>CHINA</x:v>
      </x:c>
      <x:c r="L44" s="35" t="str">
        <x:v>https://www.wbfmasterpoints.com/Medalsreport.asp</x:v>
      </x:c>
    </x:row>
    <x:row r="45">
      <x:c r="A45" s="16" t="str">
        <x:v>WBF-009</x:v>
      </x:c>
      <x:c r="B45" s="16" t="str">
        <x:v>Yi Qian Liu</x:v>
      </x:c>
      <x:c r="C45" s="16" t="str">
        <x:v>刘逸倩</x:v>
      </x:c>
      <x:c r="D45" s="16" t="str">
        <x:v>已由中文报道核对</x:v>
      </x:c>
      <x:c r="E45" s="16" t="str">
        <x:v>2007</x:v>
      </x:c>
      <x:c r="F45" s="16" t="str">
        <x:v>上海，中国</x:v>
      </x:c>
      <x:c r="G45" s="16" t="str">
        <x:v>世界桥牌团体锦标赛</x:v>
      </x:c>
      <x:c r="H45" s="16" t="str">
        <x:v>Venice Cup 女子团体</x:v>
      </x:c>
      <x:c r="I45" s="16" t="n">
        <x:v>3</x:v>
      </x:c>
      <x:c r="J45" s="16" t="str">
        <x:v>铜牌</x:v>
      </x:c>
      <x:c r="K45" s="16" t="str">
        <x:v>CHINA</x:v>
      </x:c>
      <x:c r="L45" s="16" t="str">
        <x:v>https://www.wbfmasterpoints.com/Medalsreport.asp</x:v>
      </x:c>
    </x:row>
    <x:row r="46">
      <x:c r="A46" s="35" t="str">
        <x:v>WBF-009</x:v>
      </x:c>
      <x:c r="B46" s="35" t="str">
        <x:v>Hongli Wang</x:v>
      </x:c>
      <x:c r="C46" s="35" t="str">
        <x:v>王宏利</x:v>
      </x:c>
      <x:c r="D46" s="35" t="str">
        <x:v>已由中文报道核对</x:v>
      </x:c>
      <x:c r="E46" s="35" t="str">
        <x:v>2007</x:v>
      </x:c>
      <x:c r="F46" s="35" t="str">
        <x:v>上海，中国</x:v>
      </x:c>
      <x:c r="G46" s="35" t="str">
        <x:v>世界桥牌团体锦标赛</x:v>
      </x:c>
      <x:c r="H46" s="35" t="str">
        <x:v>Venice Cup 女子团体</x:v>
      </x:c>
      <x:c r="I46" s="35" t="n">
        <x:v>3</x:v>
      </x:c>
      <x:c r="J46" s="35" t="str">
        <x:v>铜牌</x:v>
      </x:c>
      <x:c r="K46" s="35" t="str">
        <x:v>CHINA</x:v>
      </x:c>
      <x:c r="L46" s="35" t="str">
        <x:v>https://www.wbfmasterpoints.com/Medalsreport.asp</x:v>
      </x:c>
    </x:row>
    <x:row r="47">
      <x:c r="A47" s="16" t="str">
        <x:v>WBF-009</x:v>
      </x:c>
      <x:c r="B47" s="16" t="str">
        <x:v>Wen Fei Wang</x:v>
      </x:c>
      <x:c r="C47" s="16" t="str">
        <x:v>王文霏</x:v>
      </x:c>
      <x:c r="D47" s="16" t="str">
        <x:v>已由中文报道核对</x:v>
      </x:c>
      <x:c r="E47" s="16" t="str">
        <x:v>2007</x:v>
      </x:c>
      <x:c r="F47" s="16" t="str">
        <x:v>上海，中国</x:v>
      </x:c>
      <x:c r="G47" s="16" t="str">
        <x:v>世界桥牌团体锦标赛</x:v>
      </x:c>
      <x:c r="H47" s="16" t="str">
        <x:v>Venice Cup 女子团体</x:v>
      </x:c>
      <x:c r="I47" s="16" t="n">
        <x:v>3</x:v>
      </x:c>
      <x:c r="J47" s="16" t="str">
        <x:v>铜牌</x:v>
      </x:c>
      <x:c r="K47" s="16" t="str">
        <x:v>CHINA</x:v>
      </x:c>
      <x:c r="L47" s="16" t="str">
        <x:v>https://www.wbfmasterpoints.com/Medalsreport.asp</x:v>
      </x:c>
    </x:row>
    <x:row r="48">
      <x:c r="A48" s="35" t="str">
        <x:v>WBF-010</x:v>
      </x:c>
      <x:c r="B48" s="35" t="str">
        <x:v>Rongqiang Lin</x:v>
      </x:c>
      <x:c r="C48" s="35" t="str"/>
      <x:c r="D48" s="35" t="str">
        <x:v>未核实中文写法（最佳猜测及依据见专表）</x:v>
      </x:c>
      <x:c r="E48" s="35" t="str">
        <x:v>2008-10-03—2008-10-18</x:v>
      </x:c>
      <x:c r="F48" s="35" t="str">
        <x:v>北京，中国</x:v>
      </x:c>
      <x:c r="G48" s="35" t="str">
        <x:v>第1届世界智力运动会 / 世界桥牌运动会</x:v>
      </x:c>
      <x:c r="H48" s="35" t="str">
        <x:v>Transnational Mixed Teams 跨国混合团体</x:v>
      </x:c>
      <x:c r="I48" s="35" t="n">
        <x:v>3</x:v>
      </x:c>
      <x:c r="J48" s="35" t="str">
        <x:v>铜牌</x:v>
      </x:c>
      <x:c r="K48" s="35" t="str">
        <x:v>A-EVERTRUST HOLDING GROUP</x:v>
      </x:c>
      <x:c r="L48" s="35" t="str">
        <x:v>https://db.worldbridge.org/repository/tourn/Beijing.08/Beijing.htm</x:v>
      </x:c>
    </x:row>
    <x:row r="49">
      <x:c r="A49" s="16" t="str">
        <x:v>WBF-010</x:v>
      </x:c>
      <x:c r="B49" s="16" t="str">
        <x:v>Xu Hou</x:v>
      </x:c>
      <x:c r="C49" s="16" t="str"/>
      <x:c r="D49" s="16" t="str">
        <x:v>未核实中文写法（最佳猜测及依据见专表）</x:v>
      </x:c>
      <x:c r="E49" s="16" t="str">
        <x:v>2008-10-03—2008-10-18</x:v>
      </x:c>
      <x:c r="F49" s="16" t="str">
        <x:v>北京，中国</x:v>
      </x:c>
      <x:c r="G49" s="16" t="str">
        <x:v>第1届世界智力运动会 / 世界桥牌运动会</x:v>
      </x:c>
      <x:c r="H49" s="16" t="str">
        <x:v>Transnational Mixed Teams 跨国混合团体</x:v>
      </x:c>
      <x:c r="I49" s="16" t="n">
        <x:v>3</x:v>
      </x:c>
      <x:c r="J49" s="16" t="str">
        <x:v>铜牌</x:v>
      </x:c>
      <x:c r="K49" s="16" t="str">
        <x:v>A-EVERTRUST HOLDING GROUP</x:v>
      </x:c>
      <x:c r="L49" s="16" t="str">
        <x:v>https://db.worldbridge.org/repository/tourn/Beijing.08/Beijing.htm</x:v>
      </x:c>
    </x:row>
    <x:row r="50">
      <x:c r="A50" s="35" t="str">
        <x:v>WBF-010</x:v>
      </x:c>
      <x:c r="B50" s="35" t="str">
        <x:v>Yan Huang</x:v>
      </x:c>
      <x:c r="C50" s="35" t="str"/>
      <x:c r="D50" s="35" t="str">
        <x:v>未核实中文写法（最佳猜测及依据见专表）</x:v>
      </x:c>
      <x:c r="E50" s="35" t="str">
        <x:v>2008-10-03—2008-10-18</x:v>
      </x:c>
      <x:c r="F50" s="35" t="str">
        <x:v>北京，中国</x:v>
      </x:c>
      <x:c r="G50" s="35" t="str">
        <x:v>第1届世界智力运动会 / 世界桥牌运动会</x:v>
      </x:c>
      <x:c r="H50" s="35" t="str">
        <x:v>Transnational Mixed Teams 跨国混合团体</x:v>
      </x:c>
      <x:c r="I50" s="35" t="n">
        <x:v>3</x:v>
      </x:c>
      <x:c r="J50" s="35" t="str">
        <x:v>铜牌</x:v>
      </x:c>
      <x:c r="K50" s="35" t="str">
        <x:v>A-EVERTRUST HOLDING GROUP</x:v>
      </x:c>
      <x:c r="L50" s="35" t="str">
        <x:v>https://db.worldbridge.org/repository/tourn/Beijing.08/Beijing.htm</x:v>
      </x:c>
    </x:row>
    <x:row r="51">
      <x:c r="A51" s="16" t="str">
        <x:v>WBF-010</x:v>
      </x:c>
      <x:c r="B51" s="16" t="str">
        <x:v>Ling Gan</x:v>
      </x:c>
      <x:c r="C51" s="16" t="str"/>
      <x:c r="D51" s="16" t="str">
        <x:v>未核实中文写法（最佳猜测及依据见专表）</x:v>
      </x:c>
      <x:c r="E51" s="16" t="str">
        <x:v>2008-10-03—2008-10-18</x:v>
      </x:c>
      <x:c r="F51" s="16" t="str">
        <x:v>北京，中国</x:v>
      </x:c>
      <x:c r="G51" s="16" t="str">
        <x:v>第1届世界智力运动会 / 世界桥牌运动会</x:v>
      </x:c>
      <x:c r="H51" s="16" t="str">
        <x:v>Transnational Mixed Teams 跨国混合团体</x:v>
      </x:c>
      <x:c r="I51" s="16" t="n">
        <x:v>3</x:v>
      </x:c>
      <x:c r="J51" s="16" t="str">
        <x:v>铜牌</x:v>
      </x:c>
      <x:c r="K51" s="16" t="str">
        <x:v>A-EVERTRUST HOLDING GROUP</x:v>
      </x:c>
      <x:c r="L51" s="16" t="str">
        <x:v>https://db.worldbridge.org/repository/tourn/Beijing.08/Beijing.htm</x:v>
      </x:c>
    </x:row>
    <x:row r="52">
      <x:c r="A52" s="35" t="str">
        <x:v>WBF-010</x:v>
      </x:c>
      <x:c r="B52" s="35" t="str">
        <x:v>Zhengjun Shi</x:v>
      </x:c>
      <x:c r="C52" s="35" t="str"/>
      <x:c r="D52" s="35" t="str">
        <x:v>未核实中文写法（最佳猜测及依据见专表）</x:v>
      </x:c>
      <x:c r="E52" s="35" t="str">
        <x:v>2008-10-03—2008-10-18</x:v>
      </x:c>
      <x:c r="F52" s="35" t="str">
        <x:v>北京，中国</x:v>
      </x:c>
      <x:c r="G52" s="35" t="str">
        <x:v>第1届世界智力运动会 / 世界桥牌运动会</x:v>
      </x:c>
      <x:c r="H52" s="35" t="str">
        <x:v>Transnational Mixed Teams 跨国混合团体</x:v>
      </x:c>
      <x:c r="I52" s="35" t="n">
        <x:v>3</x:v>
      </x:c>
      <x:c r="J52" s="35" t="str">
        <x:v>铜牌</x:v>
      </x:c>
      <x:c r="K52" s="35" t="str">
        <x:v>A-EVERTRUST HOLDING GROUP</x:v>
      </x:c>
      <x:c r="L52" s="35" t="str">
        <x:v>https://db.worldbridge.org/repository/tourn/Beijing.08/Beijing.htm</x:v>
      </x:c>
    </x:row>
    <x:row r="53">
      <x:c r="A53" s="16" t="str">
        <x:v>WBF-010</x:v>
      </x:c>
      <x:c r="B53" s="16" t="str">
        <x:v>Bing Du</x:v>
      </x:c>
      <x:c r="C53" s="16" t="str"/>
      <x:c r="D53" s="16" t="str">
        <x:v>未核实中文写法（最佳猜测及依据见专表）</x:v>
      </x:c>
      <x:c r="E53" s="16" t="str">
        <x:v>2008-10-03—2008-10-18</x:v>
      </x:c>
      <x:c r="F53" s="16" t="str">
        <x:v>北京，中国</x:v>
      </x:c>
      <x:c r="G53" s="16" t="str">
        <x:v>第1届世界智力运动会 / 世界桥牌运动会</x:v>
      </x:c>
      <x:c r="H53" s="16" t="str">
        <x:v>Transnational Mixed Teams 跨国混合团体</x:v>
      </x:c>
      <x:c r="I53" s="16" t="n">
        <x:v>3</x:v>
      </x:c>
      <x:c r="J53" s="16" t="str">
        <x:v>铜牌</x:v>
      </x:c>
      <x:c r="K53" s="16" t="str">
        <x:v>A-EVERTRUST HOLDING GROUP</x:v>
      </x:c>
      <x:c r="L53" s="16" t="str">
        <x:v>https://db.worldbridge.org/repository/tourn/Beijing.08/Beijing.htm</x:v>
      </x:c>
    </x:row>
    <x:row r="54">
      <x:c r="A54" s="35" t="str">
        <x:v>WBF-011</x:v>
      </x:c>
      <x:c r="B54" s="35" t="str">
        <x:v>Simin Chen</x:v>
      </x:c>
      <x:c r="C54" s="35" t="str"/>
      <x:c r="D54" s="35" t="str">
        <x:v>未核实中文写法（最佳猜测及依据见专表）</x:v>
      </x:c>
      <x:c r="E54" s="35" t="str">
        <x:v>2008-10-03—2008-10-18</x:v>
      </x:c>
      <x:c r="F54" s="35" t="str">
        <x:v>北京，中国</x:v>
      </x:c>
      <x:c r="G54" s="35" t="str">
        <x:v>第1届世界智力运动会 / 世界桥牌运动会</x:v>
      </x:c>
      <x:c r="H54" s="35" t="str">
        <x:v>U21 Teams 青年团体</x:v>
      </x:c>
      <x:c r="I54" s="35" t="n">
        <x:v>3</x:v>
      </x:c>
      <x:c r="J54" s="35" t="str">
        <x:v>铜牌</x:v>
      </x:c>
      <x:c r="K54" s="35" t="str">
        <x:v>CHINA</x:v>
      </x:c>
      <x:c r="L54" s="35" t="str">
        <x:v>https://db.worldbridge.org/repository/tourn/Beijing.08/Beijing.htm</x:v>
      </x:c>
    </x:row>
    <x:row r="55">
      <x:c r="A55" s="16" t="str">
        <x:v>WBF-011</x:v>
      </x:c>
      <x:c r="B55" s="16" t="str">
        <x:v>Yichao Chen</x:v>
      </x:c>
      <x:c r="C55" s="16" t="str">
        <x:v>陈一超</x:v>
      </x:c>
      <x:c r="D55" s="16" t="str">
        <x:v>已由中文报道核对</x:v>
      </x:c>
      <x:c r="E55" s="16" t="str">
        <x:v>2008-10-03—2008-10-18</x:v>
      </x:c>
      <x:c r="F55" s="16" t="str">
        <x:v>北京，中国</x:v>
      </x:c>
      <x:c r="G55" s="16" t="str">
        <x:v>第1届世界智力运动会 / 世界桥牌运动会</x:v>
      </x:c>
      <x:c r="H55" s="16" t="str">
        <x:v>U21 Teams 青年团体</x:v>
      </x:c>
      <x:c r="I55" s="16" t="n">
        <x:v>3</x:v>
      </x:c>
      <x:c r="J55" s="16" t="str">
        <x:v>铜牌</x:v>
      </x:c>
      <x:c r="K55" s="16" t="str">
        <x:v>CHINA</x:v>
      </x:c>
      <x:c r="L55" s="16" t="str">
        <x:v>https://db.worldbridge.org/repository/tourn/Beijing.08/Beijing.htm</x:v>
      </x:c>
    </x:row>
    <x:row r="56">
      <x:c r="A56" s="35" t="str">
        <x:v>WBF-011</x:v>
      </x:c>
      <x:c r="B56" s="35" t="str">
        <x:v>Chunhui Dong</x:v>
      </x:c>
      <x:c r="C56" s="35" t="str"/>
      <x:c r="D56" s="35" t="str">
        <x:v>未核实中文写法（最佳猜测及依据见专表）</x:v>
      </x:c>
      <x:c r="E56" s="35" t="str">
        <x:v>2008-10-03—2008-10-18</x:v>
      </x:c>
      <x:c r="F56" s="35" t="str">
        <x:v>北京，中国</x:v>
      </x:c>
      <x:c r="G56" s="35" t="str">
        <x:v>第1届世界智力运动会 / 世界桥牌运动会</x:v>
      </x:c>
      <x:c r="H56" s="35" t="str">
        <x:v>U21 Teams 青年团体</x:v>
      </x:c>
      <x:c r="I56" s="35" t="n">
        <x:v>3</x:v>
      </x:c>
      <x:c r="J56" s="35" t="str">
        <x:v>铜牌</x:v>
      </x:c>
      <x:c r="K56" s="35" t="str">
        <x:v>CHINA</x:v>
      </x:c>
      <x:c r="L56" s="35" t="str">
        <x:v>https://db.worldbridge.org/repository/tourn/Beijing.08/Beijing.htm</x:v>
      </x:c>
    </x:row>
    <x:row r="57">
      <x:c r="A57" s="16" t="str">
        <x:v>WBF-011</x:v>
      </x:c>
      <x:c r="B57" s="16" t="str">
        <x:v>Junjie Hu</x:v>
      </x:c>
      <x:c r="C57" s="16" t="str"/>
      <x:c r="D57" s="16" t="str">
        <x:v>未核实中文写法（最佳猜测及依据见专表）</x:v>
      </x:c>
      <x:c r="E57" s="16" t="str">
        <x:v>2008-10-03—2008-10-18</x:v>
      </x:c>
      <x:c r="F57" s="16" t="str">
        <x:v>北京，中国</x:v>
      </x:c>
      <x:c r="G57" s="16" t="str">
        <x:v>第1届世界智力运动会 / 世界桥牌运动会</x:v>
      </x:c>
      <x:c r="H57" s="16" t="str">
        <x:v>U21 Teams 青年团体</x:v>
      </x:c>
      <x:c r="I57" s="16" t="n">
        <x:v>3</x:v>
      </x:c>
      <x:c r="J57" s="16" t="str">
        <x:v>铜牌</x:v>
      </x:c>
      <x:c r="K57" s="16" t="str">
        <x:v>CHINA</x:v>
      </x:c>
      <x:c r="L57" s="16" t="str">
        <x:v>https://db.worldbridge.org/repository/tourn/Beijing.08/Beijing.htm</x:v>
      </x:c>
    </x:row>
    <x:row r="58">
      <x:c r="A58" s="35" t="str">
        <x:v>WBF-011</x:v>
      </x:c>
      <x:c r="B58" s="35" t="str">
        <x:v>Yujie Jiang</x:v>
      </x:c>
      <x:c r="C58" s="35" t="str"/>
      <x:c r="D58" s="35" t="str">
        <x:v>未核实中文写法（最佳猜测及依据见专表）</x:v>
      </x:c>
      <x:c r="E58" s="35" t="str">
        <x:v>2008-10-03—2008-10-18</x:v>
      </x:c>
      <x:c r="F58" s="35" t="str">
        <x:v>北京，中国</x:v>
      </x:c>
      <x:c r="G58" s="35" t="str">
        <x:v>第1届世界智力运动会 / 世界桥牌运动会</x:v>
      </x:c>
      <x:c r="H58" s="35" t="str">
        <x:v>U21 Teams 青年团体</x:v>
      </x:c>
      <x:c r="I58" s="35" t="n">
        <x:v>3</x:v>
      </x:c>
      <x:c r="J58" s="35" t="str">
        <x:v>铜牌</x:v>
      </x:c>
      <x:c r="K58" s="35" t="str">
        <x:v>CHINA</x:v>
      </x:c>
      <x:c r="L58" s="35" t="str">
        <x:v>https://db.worldbridge.org/repository/tourn/Beijing.08/Beijing.htm</x:v>
      </x:c>
    </x:row>
    <x:row r="59">
      <x:c r="A59" s="16" t="str">
        <x:v>WBF-011</x:v>
      </x:c>
      <x:c r="B59" s="16" t="str">
        <x:v>Qi Song</x:v>
      </x:c>
      <x:c r="C59" s="16" t="str"/>
      <x:c r="D59" s="16" t="str">
        <x:v>未核实中文写法（最佳猜测及依据见专表）</x:v>
      </x:c>
      <x:c r="E59" s="16" t="str">
        <x:v>2008-10-03—2008-10-18</x:v>
      </x:c>
      <x:c r="F59" s="16" t="str">
        <x:v>北京，中国</x:v>
      </x:c>
      <x:c r="G59" s="16" t="str">
        <x:v>第1届世界智力运动会 / 世界桥牌运动会</x:v>
      </x:c>
      <x:c r="H59" s="16" t="str">
        <x:v>U21 Teams 青年团体</x:v>
      </x:c>
      <x:c r="I59" s="16" t="n">
        <x:v>3</x:v>
      </x:c>
      <x:c r="J59" s="16" t="str">
        <x:v>铜牌</x:v>
      </x:c>
      <x:c r="K59" s="16" t="str">
        <x:v>CHINA</x:v>
      </x:c>
      <x:c r="L59" s="16" t="str">
        <x:v>https://db.worldbridge.org/repository/tourn/Beijing.08/Beijing.htm</x:v>
      </x:c>
    </x:row>
    <x:row r="60">
      <x:c r="A60" s="35" t="str">
        <x:v>WBF-012</x:v>
      </x:c>
      <x:c r="B60" s="35" t="str">
        <x:v>Ming Sheng</x:v>
      </x:c>
      <x:c r="C60" s="35" t="str"/>
      <x:c r="D60" s="35" t="str">
        <x:v>未核实中文写法（最佳猜测及依据见专表）</x:v>
      </x:c>
      <x:c r="E60" s="35" t="str">
        <x:v>2008-10-03—2008-10-18</x:v>
      </x:c>
      <x:c r="F60" s="35" t="str">
        <x:v>北京，中国</x:v>
      </x:c>
      <x:c r="G60" s="35" t="str">
        <x:v>第1届世界智力运动会 / 世界桥牌运动会</x:v>
      </x:c>
      <x:c r="H60" s="35" t="str">
        <x:v>U28 Teams 青年团体</x:v>
      </x:c>
      <x:c r="I60" s="35" t="n">
        <x:v>3</x:v>
      </x:c>
      <x:c r="J60" s="35" t="str">
        <x:v>铜牌</x:v>
      </x:c>
      <x:c r="K60" s="35" t="str">
        <x:v>CHINA</x:v>
      </x:c>
      <x:c r="L60" s="35" t="str">
        <x:v>https://db.worldbridge.org/repository/tourn/Beijing.08/Beijing.htm
https://db.worldbridge.org/repository/tourn/Beijing.08/Asp/knockoutphase.asp?qtournid=708&amp;qphase=PO
https://db.worldbridge.org/repository/tourn/Beijing.08/ASP/participantsDetail.asp?qteamid=5535</x:v>
      </x:c>
    </x:row>
    <x:row r="61">
      <x:c r="A61" s="16" t="str">
        <x:v>WBF-012</x:v>
      </x:c>
      <x:c r="B61" s="16" t="str">
        <x:v>Yizhuo Zhang</x:v>
      </x:c>
      <x:c r="C61" s="16" t="str"/>
      <x:c r="D61" s="16" t="str">
        <x:v>未核实中文写法（最佳猜测及依据见专表）</x:v>
      </x:c>
      <x:c r="E61" s="16" t="str">
        <x:v>2008-10-03—2008-10-18</x:v>
      </x:c>
      <x:c r="F61" s="16" t="str">
        <x:v>北京，中国</x:v>
      </x:c>
      <x:c r="G61" s="16" t="str">
        <x:v>第1届世界智力运动会 / 世界桥牌运动会</x:v>
      </x:c>
      <x:c r="H61" s="16" t="str">
        <x:v>U28 Teams 青年团体</x:v>
      </x:c>
      <x:c r="I61" s="16" t="n">
        <x:v>3</x:v>
      </x:c>
      <x:c r="J61" s="16" t="str">
        <x:v>铜牌</x:v>
      </x:c>
      <x:c r="K61" s="16" t="str">
        <x:v>CHINA</x:v>
      </x:c>
      <x:c r="L61" s="16" t="str">
        <x:v>https://db.worldbridge.org/repository/tourn/Beijing.08/Beijing.htm
https://db.worldbridge.org/repository/tourn/Beijing.08/Asp/knockoutphase.asp?qtournid=708&amp;qphase=PO
https://db.worldbridge.org/repository/tourn/Beijing.08/ASP/participantsDetail.asp?qteamid=5535</x:v>
      </x:c>
    </x:row>
    <x:row r="62">
      <x:c r="A62" s="35" t="str">
        <x:v>WBF-012</x:v>
      </x:c>
      <x:c r="B62" s="35" t="str">
        <x:v>Xin Li</x:v>
      </x:c>
      <x:c r="C62" s="35" t="str"/>
      <x:c r="D62" s="35" t="str">
        <x:v>未核实中文写法（最佳猜测及依据见专表）</x:v>
      </x:c>
      <x:c r="E62" s="35" t="str">
        <x:v>2008-10-03—2008-10-18</x:v>
      </x:c>
      <x:c r="F62" s="35" t="str">
        <x:v>北京，中国</x:v>
      </x:c>
      <x:c r="G62" s="35" t="str">
        <x:v>第1届世界智力运动会 / 世界桥牌运动会</x:v>
      </x:c>
      <x:c r="H62" s="35" t="str">
        <x:v>U28 Teams 青年团体</x:v>
      </x:c>
      <x:c r="I62" s="35" t="n">
        <x:v>3</x:v>
      </x:c>
      <x:c r="J62" s="35" t="str">
        <x:v>铜牌</x:v>
      </x:c>
      <x:c r="K62" s="35" t="str">
        <x:v>CHINA</x:v>
      </x:c>
      <x:c r="L62" s="35" t="str">
        <x:v>https://db.worldbridge.org/repository/tourn/Beijing.08/Beijing.htm
https://db.worldbridge.org/repository/tourn/Beijing.08/Asp/knockoutphase.asp?qtournid=708&amp;qphase=PO
https://db.worldbridge.org/repository/tourn/Beijing.08/ASP/participantsDetail.asp?qteamid=5535</x:v>
      </x:c>
    </x:row>
    <x:row r="63">
      <x:c r="A63" s="16" t="str">
        <x:v>WBF-012</x:v>
      </x:c>
      <x:c r="B63" s="16" t="str">
        <x:v>Jing Liu</x:v>
      </x:c>
      <x:c r="C63" s="16" t="str"/>
      <x:c r="D63" s="16" t="str">
        <x:v>未核实中文写法（最佳猜测及依据见专表）</x:v>
      </x:c>
      <x:c r="E63" s="16" t="str">
        <x:v>2008-10-03—2008-10-18</x:v>
      </x:c>
      <x:c r="F63" s="16" t="str">
        <x:v>北京，中国</x:v>
      </x:c>
      <x:c r="G63" s="16" t="str">
        <x:v>第1届世界智力运动会 / 世界桥牌运动会</x:v>
      </x:c>
      <x:c r="H63" s="16" t="str">
        <x:v>U28 Teams 青年团体</x:v>
      </x:c>
      <x:c r="I63" s="16" t="n">
        <x:v>3</x:v>
      </x:c>
      <x:c r="J63" s="16" t="str">
        <x:v>铜牌</x:v>
      </x:c>
      <x:c r="K63" s="16" t="str">
        <x:v>CHINA</x:v>
      </x:c>
      <x:c r="L63" s="16" t="str">
        <x:v>https://db.worldbridge.org/repository/tourn/Beijing.08/Beijing.htm
https://db.worldbridge.org/repository/tourn/Beijing.08/Asp/knockoutphase.asp?qtournid=708&amp;qphase=PO
https://db.worldbridge.org/repository/tourn/Beijing.08/ASP/participantsDetail.asp?qteamid=5535</x:v>
      </x:c>
    </x:row>
    <x:row r="64">
      <x:c r="A64" s="35" t="str">
        <x:v>WBF-012</x:v>
      </x:c>
      <x:c r="B64" s="35" t="str">
        <x:v>Yinghao Liu</x:v>
      </x:c>
      <x:c r="C64" s="35" t="str">
        <x:v>刘英皓</x:v>
      </x:c>
      <x:c r="D64" s="35" t="str">
        <x:v>已由中文报道核对</x:v>
      </x:c>
      <x:c r="E64" s="35" t="str">
        <x:v>2008-10-03—2008-10-18</x:v>
      </x:c>
      <x:c r="F64" s="35" t="str">
        <x:v>北京，中国</x:v>
      </x:c>
      <x:c r="G64" s="35" t="str">
        <x:v>第1届世界智力运动会 / 世界桥牌运动会</x:v>
      </x:c>
      <x:c r="H64" s="35" t="str">
        <x:v>U28 Teams 青年团体</x:v>
      </x:c>
      <x:c r="I64" s="35" t="n">
        <x:v>3</x:v>
      </x:c>
      <x:c r="J64" s="35" t="str">
        <x:v>铜牌</x:v>
      </x:c>
      <x:c r="K64" s="35" t="str">
        <x:v>CHINA</x:v>
      </x:c>
      <x:c r="L64" s="35" t="str">
        <x:v>https://db.worldbridge.org/repository/tourn/Beijing.08/Beijing.htm
https://db.worldbridge.org/repository/tourn/Beijing.08/Asp/knockoutphase.asp?qtournid=708&amp;qphase=PO
https://db.worldbridge.org/repository/tourn/Beijing.08/ASP/participantsDetail.asp?qteamid=5535</x:v>
      </x:c>
    </x:row>
    <x:row r="65">
      <x:c r="A65" s="16" t="str">
        <x:v>WBF-012</x:v>
      </x:c>
      <x:c r="B65" s="16" t="str">
        <x:v>Zhenguo Wu</x:v>
      </x:c>
      <x:c r="C65" s="16" t="str"/>
      <x:c r="D65" s="16" t="str">
        <x:v>未核实中文写法（最佳猜测及依据见专表）</x:v>
      </x:c>
      <x:c r="E65" s="16" t="str">
        <x:v>2008-10-03—2008-10-18</x:v>
      </x:c>
      <x:c r="F65" s="16" t="str">
        <x:v>北京，中国</x:v>
      </x:c>
      <x:c r="G65" s="16" t="str">
        <x:v>第1届世界智力运动会 / 世界桥牌运动会</x:v>
      </x:c>
      <x:c r="H65" s="16" t="str">
        <x:v>U28 Teams 青年团体</x:v>
      </x:c>
      <x:c r="I65" s="16" t="n">
        <x:v>3</x:v>
      </x:c>
      <x:c r="J65" s="16" t="str">
        <x:v>铜牌</x:v>
      </x:c>
      <x:c r="K65" s="16" t="str">
        <x:v>CHINA</x:v>
      </x:c>
      <x:c r="L65" s="16" t="str">
        <x:v>https://db.worldbridge.org/repository/tourn/Beijing.08/Beijing.htm
https://db.worldbridge.org/repository/tourn/Beijing.08/Asp/knockoutphase.asp?qtournid=708&amp;qphase=PO
https://db.worldbridge.org/repository/tourn/Beijing.08/ASP/participantsDetail.asp?qteamid=5535</x:v>
      </x:c>
    </x:row>
    <x:row r="66">
      <x:c r="A66" s="35" t="str">
        <x:v>WBF-013</x:v>
      </x:c>
      <x:c r="B66" s="35" t="str">
        <x:v>Hongli Wang</x:v>
      </x:c>
      <x:c r="C66" s="35" t="str">
        <x:v>王宏利</x:v>
      </x:c>
      <x:c r="D66" s="35" t="str">
        <x:v>已由中文报道核对</x:v>
      </x:c>
      <x:c r="E66" s="35" t="str">
        <x:v>2008-10-03—2008-10-18</x:v>
      </x:c>
      <x:c r="F66" s="35" t="str">
        <x:v>北京，中国</x:v>
      </x:c>
      <x:c r="G66" s="35" t="str">
        <x:v>第1届世界智力运动会 / 世界桥牌运动会</x:v>
      </x:c>
      <x:c r="H66" s="35" t="str">
        <x:v>Women Teams 女子团体</x:v>
      </x:c>
      <x:c r="I66" s="35" t="n">
        <x:v>2</x:v>
      </x:c>
      <x:c r="J66" s="35" t="str">
        <x:v>银牌</x:v>
      </x:c>
      <x:c r="K66" s="35" t="str">
        <x:v>CHINA</x:v>
      </x:c>
      <x:c r="L66" s="35" t="str">
        <x:v>https://db.worldbridge.org/repository/tourn/Beijing.08/Beijing.htm</x:v>
      </x:c>
    </x:row>
    <x:row r="67">
      <x:c r="A67" s="16" t="str">
        <x:v>WBF-013</x:v>
      </x:c>
      <x:c r="B67" s="16" t="str">
        <x:v>Wen Fei Wang</x:v>
      </x:c>
      <x:c r="C67" s="16" t="str">
        <x:v>王文霏</x:v>
      </x:c>
      <x:c r="D67" s="16" t="str">
        <x:v>已由中文报道核对</x:v>
      </x:c>
      <x:c r="E67" s="16" t="str">
        <x:v>2008-10-03—2008-10-18</x:v>
      </x:c>
      <x:c r="F67" s="16" t="str">
        <x:v>北京，中国</x:v>
      </x:c>
      <x:c r="G67" s="16" t="str">
        <x:v>第1届世界智力运动会 / 世界桥牌运动会</x:v>
      </x:c>
      <x:c r="H67" s="16" t="str">
        <x:v>Women Teams 女子团体</x:v>
      </x:c>
      <x:c r="I67" s="16" t="n">
        <x:v>2</x:v>
      </x:c>
      <x:c r="J67" s="16" t="str">
        <x:v>银牌</x:v>
      </x:c>
      <x:c r="K67" s="16" t="str">
        <x:v>CHINA</x:v>
      </x:c>
      <x:c r="L67" s="16" t="str">
        <x:v>https://db.worldbridge.org/repository/tourn/Beijing.08/Beijing.htm</x:v>
      </x:c>
    </x:row>
    <x:row r="68">
      <x:c r="A68" s="35" t="str">
        <x:v>WBF-013</x:v>
      </x:c>
      <x:c r="B68" s="35" t="str">
        <x:v>Yi Qian Liu</x:v>
      </x:c>
      <x:c r="C68" s="35" t="str">
        <x:v>刘逸倩</x:v>
      </x:c>
      <x:c r="D68" s="35" t="str">
        <x:v>已由中文报道核对</x:v>
      </x:c>
      <x:c r="E68" s="35" t="str">
        <x:v>2008-10-03—2008-10-18</x:v>
      </x:c>
      <x:c r="F68" s="35" t="str">
        <x:v>北京，中国</x:v>
      </x:c>
      <x:c r="G68" s="35" t="str">
        <x:v>第1届世界智力运动会 / 世界桥牌运动会</x:v>
      </x:c>
      <x:c r="H68" s="35" t="str">
        <x:v>Women Teams 女子团体</x:v>
      </x:c>
      <x:c r="I68" s="35" t="n">
        <x:v>2</x:v>
      </x:c>
      <x:c r="J68" s="35" t="str">
        <x:v>银牌</x:v>
      </x:c>
      <x:c r="K68" s="35" t="str">
        <x:v>CHINA</x:v>
      </x:c>
      <x:c r="L68" s="35" t="str">
        <x:v>https://db.worldbridge.org/repository/tourn/Beijing.08/Beijing.htm</x:v>
      </x:c>
    </x:row>
    <x:row r="69">
      <x:c r="A69" s="16" t="str">
        <x:v>WBF-013</x:v>
      </x:c>
      <x:c r="B69" s="16" t="str">
        <x:v>Ming Sun</x:v>
      </x:c>
      <x:c r="C69" s="16" t="str">
        <x:v>孙铭</x:v>
      </x:c>
      <x:c r="D69" s="16" t="str">
        <x:v>已由中文报道核对</x:v>
      </x:c>
      <x:c r="E69" s="16" t="str">
        <x:v>2008-10-03—2008-10-18</x:v>
      </x:c>
      <x:c r="F69" s="16" t="str">
        <x:v>北京，中国</x:v>
      </x:c>
      <x:c r="G69" s="16" t="str">
        <x:v>第1届世界智力运动会 / 世界桥牌运动会</x:v>
      </x:c>
      <x:c r="H69" s="16" t="str">
        <x:v>Women Teams 女子团体</x:v>
      </x:c>
      <x:c r="I69" s="16" t="n">
        <x:v>2</x:v>
      </x:c>
      <x:c r="J69" s="16" t="str">
        <x:v>银牌</x:v>
      </x:c>
      <x:c r="K69" s="16" t="str">
        <x:v>CHINA</x:v>
      </x:c>
      <x:c r="L69" s="16" t="str">
        <x:v>https://db.worldbridge.org/repository/tourn/Beijing.08/Beijing.htm</x:v>
      </x:c>
    </x:row>
    <x:row r="70">
      <x:c r="A70" s="35" t="str">
        <x:v>WBF-013</x:v>
      </x:c>
      <x:c r="B70" s="35" t="str">
        <x:v>Ling Gu</x:v>
      </x:c>
      <x:c r="C70" s="35" t="str"/>
      <x:c r="D70" s="35" t="str">
        <x:v>未核实中文写法（最佳猜测及依据见专表）</x:v>
      </x:c>
      <x:c r="E70" s="35" t="str">
        <x:v>2008-10-03—2008-10-18</x:v>
      </x:c>
      <x:c r="F70" s="35" t="str">
        <x:v>北京，中国</x:v>
      </x:c>
      <x:c r="G70" s="35" t="str">
        <x:v>第1届世界智力运动会 / 世界桥牌运动会</x:v>
      </x:c>
      <x:c r="H70" s="35" t="str">
        <x:v>Women Teams 女子团体</x:v>
      </x:c>
      <x:c r="I70" s="35" t="n">
        <x:v>2</x:v>
      </x:c>
      <x:c r="J70" s="35" t="str">
        <x:v>银牌</x:v>
      </x:c>
      <x:c r="K70" s="35" t="str">
        <x:v>CHINA</x:v>
      </x:c>
      <x:c r="L70" s="35" t="str">
        <x:v>https://db.worldbridge.org/repository/tourn/Beijing.08/Beijing.htm</x:v>
      </x:c>
    </x:row>
    <x:row r="71">
      <x:c r="A71" s="16" t="str">
        <x:v>WBF-013</x:v>
      </x:c>
      <x:c r="B71" s="16" t="str">
        <x:v>Yalan Zhang</x:v>
      </x:c>
      <x:c r="C71" s="16" t="str"/>
      <x:c r="D71" s="16" t="str">
        <x:v>未核实中文写法（最佳猜测及依据见专表）</x:v>
      </x:c>
      <x:c r="E71" s="16" t="str">
        <x:v>2008-10-03—2008-10-18</x:v>
      </x:c>
      <x:c r="F71" s="16" t="str">
        <x:v>北京，中国</x:v>
      </x:c>
      <x:c r="G71" s="16" t="str">
        <x:v>第1届世界智力运动会 / 世界桥牌运动会</x:v>
      </x:c>
      <x:c r="H71" s="16" t="str">
        <x:v>Women Teams 女子团体</x:v>
      </x:c>
      <x:c r="I71" s="16" t="n">
        <x:v>2</x:v>
      </x:c>
      <x:c r="J71" s="16" t="str">
        <x:v>银牌</x:v>
      </x:c>
      <x:c r="K71" s="16" t="str">
        <x:v>CHINA</x:v>
      </x:c>
      <x:c r="L71" s="16" t="str">
        <x:v>https://db.worldbridge.org/repository/tourn/Beijing.08/Beijing.htm</x:v>
      </x:c>
    </x:row>
    <x:row r="72">
      <x:c r="A72" s="35" t="str">
        <x:v>WBF-014</x:v>
      </x:c>
      <x:c r="B72" s="35" t="str">
        <x:v>Ru Yan</x:v>
      </x:c>
      <x:c r="C72" s="35" t="str">
        <x:v>阎茹</x:v>
      </x:c>
      <x:c r="D72" s="35" t="str">
        <x:v>已由中文报道核对</x:v>
      </x:c>
      <x:c r="E72" s="35" t="str">
        <x:v>2008-10-03—2008-10-18</x:v>
      </x:c>
      <x:c r="F72" s="35" t="str">
        <x:v>北京，中国</x:v>
      </x:c>
      <x:c r="G72" s="35" t="str">
        <x:v>第1届世界智力运动会 / 世界桥牌运动会</x:v>
      </x:c>
      <x:c r="H72" s="35" t="str">
        <x:v>World Masters Individual Women 女子个人</x:v>
      </x:c>
      <x:c r="I72" s="35" t="n">
        <x:v>3</x:v>
      </x:c>
      <x:c r="J72" s="35" t="str">
        <x:v>铜牌</x:v>
      </x:c>
      <x:c r="K72" s="35" t="str">
        <x:v>个人</x:v>
      </x:c>
      <x:c r="L72" s="35" t="str">
        <x:v>https://db.worldbridge.org/repository/tourn/Beijing.08/Beijing.htm</x:v>
      </x:c>
    </x:row>
    <x:row r="73">
      <x:c r="A73" s="16" t="str">
        <x:v>WBF-015</x:v>
      </x:c>
      <x:c r="B73" s="16" t="str">
        <x:v>Yongling Dong</x:v>
      </x:c>
      <x:c r="C73" s="16" t="str">
        <x:v>董永灵</x:v>
      </x:c>
      <x:c r="D73" s="16" t="str">
        <x:v>已由中文报道核对</x:v>
      </x:c>
      <x:c r="E73" s="16" t="str">
        <x:v>2009-08-29—2009-09-12</x:v>
      </x:c>
      <x:c r="F73" s="16" t="str">
        <x:v>圣保罗，巴西</x:v>
      </x:c>
      <x:c r="G73" s="16" t="str">
        <x:v>世界桥牌团体锦标赛</x:v>
      </x:c>
      <x:c r="H73" s="16" t="str">
        <x:v>Venice Cup 女子团体</x:v>
      </x:c>
      <x:c r="I73" s="16" t="n">
        <x:v>1</x:v>
      </x:c>
      <x:c r="J73" s="16" t="str">
        <x:v>金牌</x:v>
      </x:c>
      <x:c r="K73" s="16" t="str">
        <x:v>CHINA LONG ZHU</x:v>
      </x:c>
      <x:c r="L73" s="16" t="str">
        <x:v>https://db.worldbridge.org/Repository/tourn/SaoPaulo.09/SaoPaulo.htm</x:v>
      </x:c>
    </x:row>
    <x:row r="74">
      <x:c r="A74" s="35" t="str">
        <x:v>WBF-015</x:v>
      </x:c>
      <x:c r="B74" s="35" t="str">
        <x:v>Yi Qian Liu</x:v>
      </x:c>
      <x:c r="C74" s="35" t="str">
        <x:v>刘逸倩</x:v>
      </x:c>
      <x:c r="D74" s="35" t="str">
        <x:v>已由中文报道核对</x:v>
      </x:c>
      <x:c r="E74" s="35" t="str">
        <x:v>2009-08-29—2009-09-12</x:v>
      </x:c>
      <x:c r="F74" s="35" t="str">
        <x:v>圣保罗，巴西</x:v>
      </x:c>
      <x:c r="G74" s="35" t="str">
        <x:v>世界桥牌团体锦标赛</x:v>
      </x:c>
      <x:c r="H74" s="35" t="str">
        <x:v>Venice Cup 女子团体</x:v>
      </x:c>
      <x:c r="I74" s="35" t="n">
        <x:v>1</x:v>
      </x:c>
      <x:c r="J74" s="35" t="str">
        <x:v>金牌</x:v>
      </x:c>
      <x:c r="K74" s="35" t="str">
        <x:v>CHINA LONG ZHU</x:v>
      </x:c>
      <x:c r="L74" s="35" t="str">
        <x:v>https://db.worldbridge.org/Repository/tourn/SaoPaulo.09/SaoPaulo.htm</x:v>
      </x:c>
    </x:row>
    <x:row r="75">
      <x:c r="A75" s="16" t="str">
        <x:v>WBF-015</x:v>
      </x:c>
      <x:c r="B75" s="16" t="str">
        <x:v>Ming Sun</x:v>
      </x:c>
      <x:c r="C75" s="16" t="str">
        <x:v>孙铭</x:v>
      </x:c>
      <x:c r="D75" s="16" t="str">
        <x:v>已由中文报道核对</x:v>
      </x:c>
      <x:c r="E75" s="16" t="str">
        <x:v>2009-08-29—2009-09-12</x:v>
      </x:c>
      <x:c r="F75" s="16" t="str">
        <x:v>圣保罗，巴西</x:v>
      </x:c>
      <x:c r="G75" s="16" t="str">
        <x:v>世界桥牌团体锦标赛</x:v>
      </x:c>
      <x:c r="H75" s="16" t="str">
        <x:v>Venice Cup 女子团体</x:v>
      </x:c>
      <x:c r="I75" s="16" t="n">
        <x:v>1</x:v>
      </x:c>
      <x:c r="J75" s="16" t="str">
        <x:v>金牌</x:v>
      </x:c>
      <x:c r="K75" s="16" t="str">
        <x:v>CHINA LONG ZHU</x:v>
      </x:c>
      <x:c r="L75" s="16" t="str">
        <x:v>https://db.worldbridge.org/Repository/tourn/SaoPaulo.09/SaoPaulo.htm</x:v>
      </x:c>
    </x:row>
    <x:row r="76">
      <x:c r="A76" s="35" t="str">
        <x:v>WBF-015</x:v>
      </x:c>
      <x:c r="B76" s="35" t="str">
        <x:v>Hongli Wang</x:v>
      </x:c>
      <x:c r="C76" s="35" t="str">
        <x:v>王宏利</x:v>
      </x:c>
      <x:c r="D76" s="35" t="str">
        <x:v>已由中文报道核对</x:v>
      </x:c>
      <x:c r="E76" s="35" t="str">
        <x:v>2009-08-29—2009-09-12</x:v>
      </x:c>
      <x:c r="F76" s="35" t="str">
        <x:v>圣保罗，巴西</x:v>
      </x:c>
      <x:c r="G76" s="35" t="str">
        <x:v>世界桥牌团体锦标赛</x:v>
      </x:c>
      <x:c r="H76" s="35" t="str">
        <x:v>Venice Cup 女子团体</x:v>
      </x:c>
      <x:c r="I76" s="35" t="n">
        <x:v>1</x:v>
      </x:c>
      <x:c r="J76" s="35" t="str">
        <x:v>金牌</x:v>
      </x:c>
      <x:c r="K76" s="35" t="str">
        <x:v>CHINA LONG ZHU</x:v>
      </x:c>
      <x:c r="L76" s="35" t="str">
        <x:v>https://db.worldbridge.org/Repository/tourn/SaoPaulo.09/SaoPaulo.htm</x:v>
      </x:c>
    </x:row>
    <x:row r="77">
      <x:c r="A77" s="16" t="str">
        <x:v>WBF-015</x:v>
      </x:c>
      <x:c r="B77" s="16" t="str">
        <x:v>Wen Fei Wang</x:v>
      </x:c>
      <x:c r="C77" s="16" t="str">
        <x:v>王文霏</x:v>
      </x:c>
      <x:c r="D77" s="16" t="str">
        <x:v>已由中文报道核对</x:v>
      </x:c>
      <x:c r="E77" s="16" t="str">
        <x:v>2009-08-29—2009-09-12</x:v>
      </x:c>
      <x:c r="F77" s="16" t="str">
        <x:v>圣保罗，巴西</x:v>
      </x:c>
      <x:c r="G77" s="16" t="str">
        <x:v>世界桥牌团体锦标赛</x:v>
      </x:c>
      <x:c r="H77" s="16" t="str">
        <x:v>Venice Cup 女子团体</x:v>
      </x:c>
      <x:c r="I77" s="16" t="n">
        <x:v>1</x:v>
      </x:c>
      <x:c r="J77" s="16" t="str">
        <x:v>金牌</x:v>
      </x:c>
      <x:c r="K77" s="16" t="str">
        <x:v>CHINA LONG ZHU</x:v>
      </x:c>
      <x:c r="L77" s="16" t="str">
        <x:v>https://db.worldbridge.org/Repository/tourn/SaoPaulo.09/SaoPaulo.htm</x:v>
      </x:c>
    </x:row>
    <x:row r="78">
      <x:c r="A78" s="35" t="str">
        <x:v>WBF-015</x:v>
      </x:c>
      <x:c r="B78" s="35" t="str">
        <x:v>Ru Yan</x:v>
      </x:c>
      <x:c r="C78" s="35" t="str">
        <x:v>阎茹</x:v>
      </x:c>
      <x:c r="D78" s="35" t="str">
        <x:v>已由中文报道核对</x:v>
      </x:c>
      <x:c r="E78" s="35" t="str">
        <x:v>2009-08-29—2009-09-12</x:v>
      </x:c>
      <x:c r="F78" s="35" t="str">
        <x:v>圣保罗，巴西</x:v>
      </x:c>
      <x:c r="G78" s="35" t="str">
        <x:v>世界桥牌团体锦标赛</x:v>
      </x:c>
      <x:c r="H78" s="35" t="str">
        <x:v>Venice Cup 女子团体</x:v>
      </x:c>
      <x:c r="I78" s="35" t="n">
        <x:v>1</x:v>
      </x:c>
      <x:c r="J78" s="35" t="str">
        <x:v>金牌</x:v>
      </x:c>
      <x:c r="K78" s="35" t="str">
        <x:v>CHINA LONG ZHU</x:v>
      </x:c>
      <x:c r="L78" s="35" t="str">
        <x:v>https://db.worldbridge.org/Repository/tourn/SaoPaulo.09/SaoPaulo.htm</x:v>
      </x:c>
    </x:row>
    <x:row r="79">
      <x:c r="A79" s="16" t="str">
        <x:v>WBF-016</x:v>
      </x:c>
      <x:c r="B79" s="16" t="str">
        <x:v>Ming Sun</x:v>
      </x:c>
      <x:c r="C79" s="16" t="str">
        <x:v>孙铭</x:v>
      </x:c>
      <x:c r="D79" s="16" t="str">
        <x:v>已由中文报道核对</x:v>
      </x:c>
      <x:c r="E79" s="16" t="str">
        <x:v>2010-10</x:v>
      </x:c>
      <x:c r="F79" s="16" t="str">
        <x:v>费城，美国</x:v>
      </x:c>
      <x:c r="G79" s="16" t="str">
        <x:v>世界桥牌综合锦标赛</x:v>
      </x:c>
      <x:c r="H79" s="16" t="str">
        <x:v>McConnell Cup 女子淘汰团体</x:v>
      </x:c>
      <x:c r="I79" s="16" t="n">
        <x:v>1</x:v>
      </x:c>
      <x:c r="J79" s="16" t="str">
        <x:v>金牌</x:v>
      </x:c>
      <x:c r="K79" s="16" t="str">
        <x:v>CHINA LADIES TEAM</x:v>
      </x:c>
      <x:c r="L79" s="16" t="str">
        <x:v>https://www.wbfmasterpoints.com/Medalsreport.asp</x:v>
      </x:c>
    </x:row>
    <x:row r="80">
      <x:c r="A80" s="35" t="str">
        <x:v>WBF-016</x:v>
      </x:c>
      <x:c r="B80" s="35" t="str">
        <x:v>Ling Gu</x:v>
      </x:c>
      <x:c r="C80" s="35" t="str"/>
      <x:c r="D80" s="35" t="str">
        <x:v>未核实中文写法（最佳猜测及依据见专表）</x:v>
      </x:c>
      <x:c r="E80" s="35" t="str">
        <x:v>2010-10</x:v>
      </x:c>
      <x:c r="F80" s="35" t="str">
        <x:v>费城，美国</x:v>
      </x:c>
      <x:c r="G80" s="35" t="str">
        <x:v>世界桥牌综合锦标赛</x:v>
      </x:c>
      <x:c r="H80" s="35" t="str">
        <x:v>McConnell Cup 女子淘汰团体</x:v>
      </x:c>
      <x:c r="I80" s="35" t="n">
        <x:v>1</x:v>
      </x:c>
      <x:c r="J80" s="35" t="str">
        <x:v>金牌</x:v>
      </x:c>
      <x:c r="K80" s="35" t="str">
        <x:v>CHINA LADIES TEAM</x:v>
      </x:c>
      <x:c r="L80" s="35" t="str">
        <x:v>https://www.wbfmasterpoints.com/Medalsreport.asp</x:v>
      </x:c>
    </x:row>
    <x:row r="81">
      <x:c r="A81" s="16" t="str">
        <x:v>WBF-016</x:v>
      </x:c>
      <x:c r="B81" s="16" t="str">
        <x:v>Hongli Wang</x:v>
      </x:c>
      <x:c r="C81" s="16" t="str">
        <x:v>王宏利</x:v>
      </x:c>
      <x:c r="D81" s="16" t="str">
        <x:v>已由中文报道核对</x:v>
      </x:c>
      <x:c r="E81" s="16" t="str">
        <x:v>2010-10</x:v>
      </x:c>
      <x:c r="F81" s="16" t="str">
        <x:v>费城，美国</x:v>
      </x:c>
      <x:c r="G81" s="16" t="str">
        <x:v>世界桥牌综合锦标赛</x:v>
      </x:c>
      <x:c r="H81" s="16" t="str">
        <x:v>McConnell Cup 女子淘汰团体</x:v>
      </x:c>
      <x:c r="I81" s="16" t="n">
        <x:v>1</x:v>
      </x:c>
      <x:c r="J81" s="16" t="str">
        <x:v>金牌</x:v>
      </x:c>
      <x:c r="K81" s="16" t="str">
        <x:v>CHINA LADIES TEAM</x:v>
      </x:c>
      <x:c r="L81" s="16" t="str">
        <x:v>https://www.wbfmasterpoints.com/Medalsreport.asp</x:v>
      </x:c>
    </x:row>
    <x:row r="82">
      <x:c r="A82" s="35" t="str">
        <x:v>WBF-016</x:v>
      </x:c>
      <x:c r="B82" s="35" t="str">
        <x:v>Yan Lu</x:v>
      </x:c>
      <x:c r="C82" s="35" t="str">
        <x:v>卢燕</x:v>
      </x:c>
      <x:c r="D82" s="35" t="str">
        <x:v>已由中文报道核对</x:v>
      </x:c>
      <x:c r="E82" s="35" t="str">
        <x:v>2010-10</x:v>
      </x:c>
      <x:c r="F82" s="35" t="str">
        <x:v>费城，美国</x:v>
      </x:c>
      <x:c r="G82" s="35" t="str">
        <x:v>世界桥牌综合锦标赛</x:v>
      </x:c>
      <x:c r="H82" s="35" t="str">
        <x:v>McConnell Cup 女子淘汰团体</x:v>
      </x:c>
      <x:c r="I82" s="35" t="n">
        <x:v>1</x:v>
      </x:c>
      <x:c r="J82" s="35" t="str">
        <x:v>金牌</x:v>
      </x:c>
      <x:c r="K82" s="35" t="str">
        <x:v>CHINA LADIES TEAM</x:v>
      </x:c>
      <x:c r="L82" s="35" t="str">
        <x:v>https://www.wbfmasterpoints.com/Medalsreport.asp</x:v>
      </x:c>
    </x:row>
    <x:row r="83">
      <x:c r="A83" s="16" t="str">
        <x:v>WBF-016</x:v>
      </x:c>
      <x:c r="B83" s="16" t="str">
        <x:v>Sun Yanhui</x:v>
      </x:c>
      <x:c r="C83" s="16" t="str"/>
      <x:c r="D83" s="16" t="str">
        <x:v>未核实中文写法（最佳猜测及依据见专表）</x:v>
      </x:c>
      <x:c r="E83" s="16" t="str">
        <x:v>2010-10</x:v>
      </x:c>
      <x:c r="F83" s="16" t="str">
        <x:v>费城，美国</x:v>
      </x:c>
      <x:c r="G83" s="16" t="str">
        <x:v>世界桥牌综合锦标赛</x:v>
      </x:c>
      <x:c r="H83" s="16" t="str">
        <x:v>McConnell Cup 女子淘汰团体</x:v>
      </x:c>
      <x:c r="I83" s="16" t="n">
        <x:v>1</x:v>
      </x:c>
      <x:c r="J83" s="16" t="str">
        <x:v>金牌</x:v>
      </x:c>
      <x:c r="K83" s="16" t="str">
        <x:v>CHINA LADIES TEAM</x:v>
      </x:c>
      <x:c r="L83" s="16" t="str">
        <x:v>https://www.wbfmasterpoints.com/Medalsreport.asp</x:v>
      </x:c>
    </x:row>
    <x:row r="84">
      <x:c r="A84" s="35" t="str">
        <x:v>WBF-016</x:v>
      </x:c>
      <x:c r="B84" s="35" t="str">
        <x:v>Xuefeng Feng</x:v>
      </x:c>
      <x:c r="C84" s="35" t="str"/>
      <x:c r="D84" s="35" t="str">
        <x:v>未核实中文写法（最佳猜测及依据见专表）</x:v>
      </x:c>
      <x:c r="E84" s="35" t="str">
        <x:v>2010-10</x:v>
      </x:c>
      <x:c r="F84" s="35" t="str">
        <x:v>费城，美国</x:v>
      </x:c>
      <x:c r="G84" s="35" t="str">
        <x:v>世界桥牌综合锦标赛</x:v>
      </x:c>
      <x:c r="H84" s="35" t="str">
        <x:v>McConnell Cup 女子淘汰团体</x:v>
      </x:c>
      <x:c r="I84" s="35" t="n">
        <x:v>1</x:v>
      </x:c>
      <x:c r="J84" s="35" t="str">
        <x:v>金牌</x:v>
      </x:c>
      <x:c r="K84" s="35" t="str">
        <x:v>CHINA LADIES TEAM</x:v>
      </x:c>
      <x:c r="L84" s="35" t="str">
        <x:v>https://www.wbfmasterpoints.com/Medalsreport.asp</x:v>
      </x:c>
    </x:row>
    <x:row r="85">
      <x:c r="A85" s="16" t="str">
        <x:v>WBF-017</x:v>
      </x:c>
      <x:c r="B85" s="16" t="str">
        <x:v>Yichao Chen</x:v>
      </x:c>
      <x:c r="C85" s="16" t="str">
        <x:v>陈一超</x:v>
      </x:c>
      <x:c r="D85" s="16" t="str">
        <x:v>已由中文报道核对</x:v>
      </x:c>
      <x:c r="E85" s="16" t="str">
        <x:v>2010-10</x:v>
      </x:c>
      <x:c r="F85" s="16" t="str">
        <x:v>费城，美国</x:v>
      </x:c>
      <x:c r="G85" s="16" t="str">
        <x:v>世界青年团体锦标赛</x:v>
      </x:c>
      <x:c r="H85" s="16" t="str">
        <x:v>U26 Teams</x:v>
      </x:c>
      <x:c r="I85" s="16" t="n">
        <x:v>3</x:v>
      </x:c>
      <x:c r="J85" s="16" t="str">
        <x:v>铜牌</x:v>
      </x:c>
      <x:c r="K85" s="16" t="str">
        <x:v>CHINA</x:v>
      </x:c>
      <x:c r="L85" s="16" t="str">
        <x:v>https://www.worldbridge.org/competitions/the-world-youth-team-championships/</x:v>
      </x:c>
    </x:row>
    <x:row r="86">
      <x:c r="A86" s="35" t="str">
        <x:v>WBF-017</x:v>
      </x:c>
      <x:c r="B86" s="35" t="str">
        <x:v>Junjie Hu</x:v>
      </x:c>
      <x:c r="C86" s="35" t="str"/>
      <x:c r="D86" s="35" t="str">
        <x:v>未核实中文写法（最佳猜测及依据见专表）</x:v>
      </x:c>
      <x:c r="E86" s="35" t="str">
        <x:v>2010-10</x:v>
      </x:c>
      <x:c r="F86" s="35" t="str">
        <x:v>费城，美国</x:v>
      </x:c>
      <x:c r="G86" s="35" t="str">
        <x:v>世界青年团体锦标赛</x:v>
      </x:c>
      <x:c r="H86" s="35" t="str">
        <x:v>U26 Teams</x:v>
      </x:c>
      <x:c r="I86" s="35" t="n">
        <x:v>3</x:v>
      </x:c>
      <x:c r="J86" s="35" t="str">
        <x:v>铜牌</x:v>
      </x:c>
      <x:c r="K86" s="35" t="str">
        <x:v>CHINA</x:v>
      </x:c>
      <x:c r="L86" s="35" t="str">
        <x:v>https://www.worldbridge.org/competitions/the-world-youth-team-championships/</x:v>
      </x:c>
    </x:row>
    <x:row r="87">
      <x:c r="A87" s="16" t="str">
        <x:v>WBF-017</x:v>
      </x:c>
      <x:c r="B87" s="16" t="str">
        <x:v>Zisu Lin</x:v>
      </x:c>
      <x:c r="C87" s="16" t="str"/>
      <x:c r="D87" s="16" t="str">
        <x:v>未核实中文写法（最佳猜测及依据见专表）</x:v>
      </x:c>
      <x:c r="E87" s="16" t="str">
        <x:v>2010-10</x:v>
      </x:c>
      <x:c r="F87" s="16" t="str">
        <x:v>费城，美国</x:v>
      </x:c>
      <x:c r="G87" s="16" t="str">
        <x:v>世界青年团体锦标赛</x:v>
      </x:c>
      <x:c r="H87" s="16" t="str">
        <x:v>U26 Teams</x:v>
      </x:c>
      <x:c r="I87" s="16" t="n">
        <x:v>3</x:v>
      </x:c>
      <x:c r="J87" s="16" t="str">
        <x:v>铜牌</x:v>
      </x:c>
      <x:c r="K87" s="16" t="str">
        <x:v>CHINA</x:v>
      </x:c>
      <x:c r="L87" s="16" t="str">
        <x:v>https://www.worldbridge.org/competitions/the-world-youth-team-championships/</x:v>
      </x:c>
    </x:row>
    <x:row r="88">
      <x:c r="A88" s="35" t="str">
        <x:v>WBF-017</x:v>
      </x:c>
      <x:c r="B88" s="35" t="str">
        <x:v>Yinghao Liu</x:v>
      </x:c>
      <x:c r="C88" s="35" t="str">
        <x:v>刘英皓</x:v>
      </x:c>
      <x:c r="D88" s="35" t="str">
        <x:v>已由中文报道核对</x:v>
      </x:c>
      <x:c r="E88" s="35" t="str">
        <x:v>2010-10</x:v>
      </x:c>
      <x:c r="F88" s="35" t="str">
        <x:v>费城，美国</x:v>
      </x:c>
      <x:c r="G88" s="35" t="str">
        <x:v>世界青年团体锦标赛</x:v>
      </x:c>
      <x:c r="H88" s="35" t="str">
        <x:v>U26 Teams</x:v>
      </x:c>
      <x:c r="I88" s="35" t="n">
        <x:v>3</x:v>
      </x:c>
      <x:c r="J88" s="35" t="str">
        <x:v>铜牌</x:v>
      </x:c>
      <x:c r="K88" s="35" t="str">
        <x:v>CHINA</x:v>
      </x:c>
      <x:c r="L88" s="35" t="str">
        <x:v>https://www.worldbridge.org/competitions/the-world-youth-team-championships/</x:v>
      </x:c>
    </x:row>
    <x:row r="89">
      <x:c r="A89" s="16" t="str">
        <x:v>WBF-017</x:v>
      </x:c>
      <x:c r="B89" s="16" t="str">
        <x:v>Yinpei Shao</x:v>
      </x:c>
      <x:c r="C89" s="16" t="str"/>
      <x:c r="D89" s="16" t="str">
        <x:v>未核实中文写法（最佳猜测及依据见专表）</x:v>
      </x:c>
      <x:c r="E89" s="16" t="str">
        <x:v>2010-10</x:v>
      </x:c>
      <x:c r="F89" s="16" t="str">
        <x:v>费城，美国</x:v>
      </x:c>
      <x:c r="G89" s="16" t="str">
        <x:v>世界青年团体锦标赛</x:v>
      </x:c>
      <x:c r="H89" s="16" t="str">
        <x:v>U26 Teams</x:v>
      </x:c>
      <x:c r="I89" s="16" t="n">
        <x:v>3</x:v>
      </x:c>
      <x:c r="J89" s="16" t="str">
        <x:v>铜牌</x:v>
      </x:c>
      <x:c r="K89" s="16" t="str">
        <x:v>CHINA</x:v>
      </x:c>
      <x:c r="L89" s="16" t="str">
        <x:v>https://www.worldbridge.org/competitions/the-world-youth-team-championships/</x:v>
      </x:c>
    </x:row>
    <x:row r="90">
      <x:c r="A90" s="35" t="str">
        <x:v>WBF-017</x:v>
      </x:c>
      <x:c r="B90" s="35" t="str">
        <x:v>Di Zhuo</x:v>
      </x:c>
      <x:c r="C90" s="35" t="str"/>
      <x:c r="D90" s="35" t="str">
        <x:v>未核实中文写法（最佳猜测及依据见专表）</x:v>
      </x:c>
      <x:c r="E90" s="35" t="str">
        <x:v>2010-10</x:v>
      </x:c>
      <x:c r="F90" s="35" t="str">
        <x:v>费城，美国</x:v>
      </x:c>
      <x:c r="G90" s="35" t="str">
        <x:v>世界青年团体锦标赛</x:v>
      </x:c>
      <x:c r="H90" s="35" t="str">
        <x:v>U26 Teams</x:v>
      </x:c>
      <x:c r="I90" s="35" t="n">
        <x:v>3</x:v>
      </x:c>
      <x:c r="J90" s="35" t="str">
        <x:v>铜牌</x:v>
      </x:c>
      <x:c r="K90" s="35" t="str">
        <x:v>CHINA</x:v>
      </x:c>
      <x:c r="L90" s="35" t="str">
        <x:v>https://www.worldbridge.org/competitions/the-world-youth-team-championships/</x:v>
      </x:c>
    </x:row>
    <x:row r="91">
      <x:c r="A91" s="16" t="str">
        <x:v>WBF-018</x:v>
      </x:c>
      <x:c r="B91" s="16" t="str">
        <x:v>Xiufen Chang</x:v>
      </x:c>
      <x:c r="C91" s="16" t="str"/>
      <x:c r="D91" s="16" t="str">
        <x:v>未核实中文写法（最佳猜测及依据见专表）</x:v>
      </x:c>
      <x:c r="E91" s="16" t="str">
        <x:v>2010-10</x:v>
      </x:c>
      <x:c r="F91" s="16" t="str">
        <x:v>费城，美国</x:v>
      </x:c>
      <x:c r="G91" s="16" t="str">
        <x:v>世界青年团体锦标赛</x:v>
      </x:c>
      <x:c r="H91" s="16" t="str">
        <x:v>U26 Women Teams</x:v>
      </x:c>
      <x:c r="I91" s="16" t="n">
        <x:v>3</x:v>
      </x:c>
      <x:c r="J91" s="16" t="str">
        <x:v>铜牌</x:v>
      </x:c>
      <x:c r="K91" s="16" t="str">
        <x:v>CHINA</x:v>
      </x:c>
      <x:c r="L91" s="16" t="str">
        <x:v>https://www.worldbridge.org/competitions/the-world-youth-team-championships/</x:v>
      </x:c>
    </x:row>
    <x:row r="92">
      <x:c r="A92" s="35" t="str">
        <x:v>WBF-018</x:v>
      </x:c>
      <x:c r="B92" s="35" t="str">
        <x:v>Xing Li</x:v>
      </x:c>
      <x:c r="C92" s="35" t="str"/>
      <x:c r="D92" s="35" t="str">
        <x:v>未核实中文写法（最佳猜测及依据见专表）</x:v>
      </x:c>
      <x:c r="E92" s="35" t="str">
        <x:v>2010-10</x:v>
      </x:c>
      <x:c r="F92" s="35" t="str">
        <x:v>费城，美国</x:v>
      </x:c>
      <x:c r="G92" s="35" t="str">
        <x:v>世界青年团体锦标赛</x:v>
      </x:c>
      <x:c r="H92" s="35" t="str">
        <x:v>U26 Women Teams</x:v>
      </x:c>
      <x:c r="I92" s="35" t="n">
        <x:v>3</x:v>
      </x:c>
      <x:c r="J92" s="35" t="str">
        <x:v>铜牌</x:v>
      </x:c>
      <x:c r="K92" s="35" t="str">
        <x:v>CHINA</x:v>
      </x:c>
      <x:c r="L92" s="35" t="str">
        <x:v>https://www.worldbridge.org/competitions/the-world-youth-team-championships/</x:v>
      </x:c>
    </x:row>
    <x:row r="93">
      <x:c r="A93" s="16" t="str">
        <x:v>WBF-018</x:v>
      </x:c>
      <x:c r="B93" s="16" t="str">
        <x:v>Yanjiao Liu</x:v>
      </x:c>
      <x:c r="C93" s="16" t="str"/>
      <x:c r="D93" s="16" t="str">
        <x:v>未核实中文写法（最佳猜测及依据见专表）</x:v>
      </x:c>
      <x:c r="E93" s="16" t="str">
        <x:v>2010-10</x:v>
      </x:c>
      <x:c r="F93" s="16" t="str">
        <x:v>费城，美国</x:v>
      </x:c>
      <x:c r="G93" s="16" t="str">
        <x:v>世界青年团体锦标赛</x:v>
      </x:c>
      <x:c r="H93" s="16" t="str">
        <x:v>U26 Women Teams</x:v>
      </x:c>
      <x:c r="I93" s="16" t="n">
        <x:v>3</x:v>
      </x:c>
      <x:c r="J93" s="16" t="str">
        <x:v>铜牌</x:v>
      </x:c>
      <x:c r="K93" s="16" t="str">
        <x:v>CHINA</x:v>
      </x:c>
      <x:c r="L93" s="16" t="str">
        <x:v>https://www.worldbridge.org/competitions/the-world-youth-team-championships/</x:v>
      </x:c>
    </x:row>
    <x:row r="94">
      <x:c r="A94" s="35" t="str">
        <x:v>WBF-018</x:v>
      </x:c>
      <x:c r="B94" s="35" t="str">
        <x:v>Wei Meng</x:v>
      </x:c>
      <x:c r="C94" s="35" t="str"/>
      <x:c r="D94" s="35" t="str">
        <x:v>未核实中文写法（最佳猜测及依据见专表）</x:v>
      </x:c>
      <x:c r="E94" s="35" t="str">
        <x:v>2010-10</x:v>
      </x:c>
      <x:c r="F94" s="35" t="str">
        <x:v>费城，美国</x:v>
      </x:c>
      <x:c r="G94" s="35" t="str">
        <x:v>世界青年团体锦标赛</x:v>
      </x:c>
      <x:c r="H94" s="35" t="str">
        <x:v>U26 Women Teams</x:v>
      </x:c>
      <x:c r="I94" s="35" t="n">
        <x:v>3</x:v>
      </x:c>
      <x:c r="J94" s="35" t="str">
        <x:v>铜牌</x:v>
      </x:c>
      <x:c r="K94" s="35" t="str">
        <x:v>CHINA</x:v>
      </x:c>
      <x:c r="L94" s="35" t="str">
        <x:v>https://www.worldbridge.org/competitions/the-world-youth-team-championships/</x:v>
      </x:c>
    </x:row>
    <x:row r="95">
      <x:c r="A95" s="16" t="str">
        <x:v>WBF-018</x:v>
      </x:c>
      <x:c r="B95" s="16" t="str">
        <x:v>Lulu Peng</x:v>
      </x:c>
      <x:c r="C95" s="16" t="str"/>
      <x:c r="D95" s="16" t="str">
        <x:v>未核实中文写法（最佳猜测及依据见专表）</x:v>
      </x:c>
      <x:c r="E95" s="16" t="str">
        <x:v>2010-10</x:v>
      </x:c>
      <x:c r="F95" s="16" t="str">
        <x:v>费城，美国</x:v>
      </x:c>
      <x:c r="G95" s="16" t="str">
        <x:v>世界青年团体锦标赛</x:v>
      </x:c>
      <x:c r="H95" s="16" t="str">
        <x:v>U26 Women Teams</x:v>
      </x:c>
      <x:c r="I95" s="16" t="n">
        <x:v>3</x:v>
      </x:c>
      <x:c r="J95" s="16" t="str">
        <x:v>铜牌</x:v>
      </x:c>
      <x:c r="K95" s="16" t="str">
        <x:v>CHINA</x:v>
      </x:c>
      <x:c r="L95" s="16" t="str">
        <x:v>https://www.worldbridge.org/competitions/the-world-youth-team-championships/</x:v>
      </x:c>
    </x:row>
    <x:row r="96">
      <x:c r="A96" s="35" t="str">
        <x:v>WBF-018</x:v>
      </x:c>
      <x:c r="B96" s="35" t="str">
        <x:v>Xingxing Shan</x:v>
      </x:c>
      <x:c r="C96" s="35" t="str"/>
      <x:c r="D96" s="35" t="str">
        <x:v>未核实中文写法（最佳猜测及依据见专表）</x:v>
      </x:c>
      <x:c r="E96" s="35" t="str">
        <x:v>2010-10</x:v>
      </x:c>
      <x:c r="F96" s="35" t="str">
        <x:v>费城，美国</x:v>
      </x:c>
      <x:c r="G96" s="35" t="str">
        <x:v>世界青年团体锦标赛</x:v>
      </x:c>
      <x:c r="H96" s="35" t="str">
        <x:v>U26 Women Teams</x:v>
      </x:c>
      <x:c r="I96" s="35" t="n">
        <x:v>3</x:v>
      </x:c>
      <x:c r="J96" s="35" t="str">
        <x:v>铜牌</x:v>
      </x:c>
      <x:c r="K96" s="35" t="str">
        <x:v>CHINA</x:v>
      </x:c>
      <x:c r="L96" s="35" t="str">
        <x:v>https://www.worldbridge.org/competitions/the-world-youth-team-championships/</x:v>
      </x:c>
    </x:row>
    <x:row r="97">
      <x:c r="A97" s="16" t="str">
        <x:v>WBF-019</x:v>
      </x:c>
      <x:c r="B97" s="16" t="str">
        <x:v>Mao Yuan Hu</x:v>
      </x:c>
      <x:c r="C97" s="16" t="str"/>
      <x:c r="D97" s="16" t="str">
        <x:v>未核实中文写法（最佳猜测及依据见专表）</x:v>
      </x:c>
      <x:c r="E97" s="16" t="str">
        <x:v>2012</x:v>
      </x:c>
      <x:c r="F97" s="16" t="str">
        <x:v>里尔，法国</x:v>
      </x:c>
      <x:c r="G97" s="16" t="str">
        <x:v>世界桥牌运动会</x:v>
      </x:c>
      <x:c r="H97" s="16" t="str">
        <x:v>Transnational Mixed Teams 跨国混合团体</x:v>
      </x:c>
      <x:c r="I97" s="16" t="n">
        <x:v>3</x:v>
      </x:c>
      <x:c r="J97" s="16" t="str">
        <x:v>铜牌</x:v>
      </x:c>
      <x:c r="K97" s="16" t="str">
        <x:v>CHINA</x:v>
      </x:c>
      <x:c r="L97" s="16" t="str">
        <x:v>https://www.wbfmasterpoints.com/Medalsreport.asp</x:v>
      </x:c>
    </x:row>
    <x:row r="98">
      <x:c r="A98" s="35" t="str">
        <x:v>WBF-019</x:v>
      </x:c>
      <x:c r="B98" s="35" t="str">
        <x:v>Liping Wang</x:v>
      </x:c>
      <x:c r="C98" s="35" t="str"/>
      <x:c r="D98" s="35" t="str">
        <x:v>未核实中文写法（最佳猜测及依据见专表）</x:v>
      </x:c>
      <x:c r="E98" s="35" t="str">
        <x:v>2012</x:v>
      </x:c>
      <x:c r="F98" s="35" t="str">
        <x:v>里尔，法国</x:v>
      </x:c>
      <x:c r="G98" s="35" t="str">
        <x:v>世界桥牌运动会</x:v>
      </x:c>
      <x:c r="H98" s="35" t="str">
        <x:v>Transnational Mixed Teams 跨国混合团体</x:v>
      </x:c>
      <x:c r="I98" s="35" t="n">
        <x:v>3</x:v>
      </x:c>
      <x:c r="J98" s="35" t="str">
        <x:v>铜牌</x:v>
      </x:c>
      <x:c r="K98" s="35" t="str">
        <x:v>CHINA</x:v>
      </x:c>
      <x:c r="L98" s="35" t="str">
        <x:v>https://www.wbfmasterpoints.com/Medalsreport.asp</x:v>
      </x:c>
    </x:row>
    <x:row r="99">
      <x:c r="A99" s="16" t="str">
        <x:v>WBF-019</x:v>
      </x:c>
      <x:c r="B99" s="16" t="str">
        <x:v>Yi Qian Liu</x:v>
      </x:c>
      <x:c r="C99" s="16" t="str">
        <x:v>刘逸倩</x:v>
      </x:c>
      <x:c r="D99" s="16" t="str">
        <x:v>已由中文报道核对</x:v>
      </x:c>
      <x:c r="E99" s="16" t="str">
        <x:v>2012</x:v>
      </x:c>
      <x:c r="F99" s="16" t="str">
        <x:v>里尔，法国</x:v>
      </x:c>
      <x:c r="G99" s="16" t="str">
        <x:v>世界桥牌运动会</x:v>
      </x:c>
      <x:c r="H99" s="16" t="str">
        <x:v>Transnational Mixed Teams 跨国混合团体</x:v>
      </x:c>
      <x:c r="I99" s="16" t="n">
        <x:v>3</x:v>
      </x:c>
      <x:c r="J99" s="16" t="str">
        <x:v>铜牌</x:v>
      </x:c>
      <x:c r="K99" s="16" t="str">
        <x:v>CHINA</x:v>
      </x:c>
      <x:c r="L99" s="16" t="str">
        <x:v>https://www.wbfmasterpoints.com/Medalsreport.asp</x:v>
      </x:c>
    </x:row>
    <x:row r="100">
      <x:c r="A100" s="35" t="str">
        <x:v>WBF-019</x:v>
      </x:c>
      <x:c r="B100" s="35" t="str">
        <x:v>Zejun Zhuang</x:v>
      </x:c>
      <x:c r="C100" s="35" t="str"/>
      <x:c r="D100" s="35" t="str">
        <x:v>未核实中文写法（最佳猜测及依据见专表）</x:v>
      </x:c>
      <x:c r="E100" s="35" t="str">
        <x:v>2012</x:v>
      </x:c>
      <x:c r="F100" s="35" t="str">
        <x:v>里尔，法国</x:v>
      </x:c>
      <x:c r="G100" s="35" t="str">
        <x:v>世界桥牌运动会</x:v>
      </x:c>
      <x:c r="H100" s="35" t="str">
        <x:v>Transnational Mixed Teams 跨国混合团体</x:v>
      </x:c>
      <x:c r="I100" s="35" t="n">
        <x:v>3</x:v>
      </x:c>
      <x:c r="J100" s="35" t="str">
        <x:v>铜牌</x:v>
      </x:c>
      <x:c r="K100" s="35" t="str">
        <x:v>CHINA</x:v>
      </x:c>
      <x:c r="L100" s="35" t="str">
        <x:v>https://www.wbfmasterpoints.com/Medalsreport.asp</x:v>
      </x:c>
    </x:row>
    <x:row r="101">
      <x:c r="A101" s="16" t="str">
        <x:v>WBF-019</x:v>
      </x:c>
      <x:c r="B101" s="16" t="str">
        <x:v>Wen Fei Wang</x:v>
      </x:c>
      <x:c r="C101" s="16" t="str">
        <x:v>王文霏</x:v>
      </x:c>
      <x:c r="D101" s="16" t="str">
        <x:v>已由中文报道核对</x:v>
      </x:c>
      <x:c r="E101" s="16" t="str">
        <x:v>2012</x:v>
      </x:c>
      <x:c r="F101" s="16" t="str">
        <x:v>里尔，法国</x:v>
      </x:c>
      <x:c r="G101" s="16" t="str">
        <x:v>世界桥牌运动会</x:v>
      </x:c>
      <x:c r="H101" s="16" t="str">
        <x:v>Transnational Mixed Teams 跨国混合团体</x:v>
      </x:c>
      <x:c r="I101" s="16" t="n">
        <x:v>3</x:v>
      </x:c>
      <x:c r="J101" s="16" t="str">
        <x:v>铜牌</x:v>
      </x:c>
      <x:c r="K101" s="16" t="str">
        <x:v>CHINA</x:v>
      </x:c>
      <x:c r="L101" s="16" t="str">
        <x:v>https://www.wbfmasterpoints.com/Medalsreport.asp</x:v>
      </x:c>
    </x:row>
    <x:row r="102">
      <x:c r="A102" s="35" t="str">
        <x:v>WBF-019</x:v>
      </x:c>
      <x:c r="B102" s="35" t="str">
        <x:v>Jian Ming Dai</x:v>
      </x:c>
      <x:c r="C102" s="35" t="str"/>
      <x:c r="D102" s="35" t="str">
        <x:v>未核实中文写法（最佳猜测及依据见专表）</x:v>
      </x:c>
      <x:c r="E102" s="35" t="str">
        <x:v>2012</x:v>
      </x:c>
      <x:c r="F102" s="35" t="str">
        <x:v>里尔，法国</x:v>
      </x:c>
      <x:c r="G102" s="35" t="str">
        <x:v>世界桥牌运动会</x:v>
      </x:c>
      <x:c r="H102" s="35" t="str">
        <x:v>Transnational Mixed Teams 跨国混合团体</x:v>
      </x:c>
      <x:c r="I102" s="35" t="n">
        <x:v>3</x:v>
      </x:c>
      <x:c r="J102" s="35" t="str">
        <x:v>铜牌</x:v>
      </x:c>
      <x:c r="K102" s="35" t="str">
        <x:v>CHINA</x:v>
      </x:c>
      <x:c r="L102" s="35" t="str">
        <x:v>https://www.wbfmasterpoints.com/Medalsreport.asp</x:v>
      </x:c>
    </x:row>
    <x:row r="103">
      <x:c r="A103" s="16" t="str">
        <x:v>WBF-020</x:v>
      </x:c>
      <x:c r="B103" s="16" t="str">
        <x:v>Yichao Chen</x:v>
      </x:c>
      <x:c r="C103" s="16" t="str">
        <x:v>陈一超</x:v>
      </x:c>
      <x:c r="D103" s="16" t="str">
        <x:v>已由中文报道核对</x:v>
      </x:c>
      <x:c r="E103" s="16" t="str">
        <x:v>2012-07-25—2012-08-04</x:v>
      </x:c>
      <x:c r="F103" s="16" t="str">
        <x:v>太仓，中国</x:v>
      </x:c>
      <x:c r="G103" s="16" t="str">
        <x:v>世界青年团体锦标赛</x:v>
      </x:c>
      <x:c r="H103" s="16" t="str">
        <x:v>U26 Teams</x:v>
      </x:c>
      <x:c r="I103" s="16" t="n">
        <x:v>3</x:v>
      </x:c>
      <x:c r="J103" s="16" t="str">
        <x:v>铜牌</x:v>
      </x:c>
      <x:c r="K103" s="16" t="str">
        <x:v>CHINA</x:v>
      </x:c>
      <x:c r="L103" s="16" t="str">
        <x:v>https://www.worldbridge.org/competitions/the-world-youth-team-championships/</x:v>
      </x:c>
    </x:row>
    <x:row r="104">
      <x:c r="A104" s="35" t="str">
        <x:v>WBF-020</x:v>
      </x:c>
      <x:c r="B104" s="35" t="str">
        <x:v>Junjie Hu</x:v>
      </x:c>
      <x:c r="C104" s="35" t="str"/>
      <x:c r="D104" s="35" t="str">
        <x:v>未核实中文写法（最佳猜测及依据见专表）</x:v>
      </x:c>
      <x:c r="E104" s="35" t="str">
        <x:v>2012-07-25—2012-08-04</x:v>
      </x:c>
      <x:c r="F104" s="35" t="str">
        <x:v>太仓，中国</x:v>
      </x:c>
      <x:c r="G104" s="35" t="str">
        <x:v>世界青年团体锦标赛</x:v>
      </x:c>
      <x:c r="H104" s="35" t="str">
        <x:v>U26 Teams</x:v>
      </x:c>
      <x:c r="I104" s="35" t="n">
        <x:v>3</x:v>
      </x:c>
      <x:c r="J104" s="35" t="str">
        <x:v>铜牌</x:v>
      </x:c>
      <x:c r="K104" s="35" t="str">
        <x:v>CHINA</x:v>
      </x:c>
      <x:c r="L104" s="35" t="str">
        <x:v>https://www.worldbridge.org/competitions/the-world-youth-team-championships/</x:v>
      </x:c>
    </x:row>
    <x:row r="105">
      <x:c r="A105" s="16" t="str">
        <x:v>WBF-020</x:v>
      </x:c>
      <x:c r="B105" s="16" t="str">
        <x:v>Yujie Jiang</x:v>
      </x:c>
      <x:c r="C105" s="16" t="str"/>
      <x:c r="D105" s="16" t="str">
        <x:v>未核实中文写法（最佳猜测及依据见专表）</x:v>
      </x:c>
      <x:c r="E105" s="16" t="str">
        <x:v>2012-07-25—2012-08-04</x:v>
      </x:c>
      <x:c r="F105" s="16" t="str">
        <x:v>太仓，中国</x:v>
      </x:c>
      <x:c r="G105" s="16" t="str">
        <x:v>世界青年团体锦标赛</x:v>
      </x:c>
      <x:c r="H105" s="16" t="str">
        <x:v>U26 Teams</x:v>
      </x:c>
      <x:c r="I105" s="16" t="n">
        <x:v>3</x:v>
      </x:c>
      <x:c r="J105" s="16" t="str">
        <x:v>铜牌</x:v>
      </x:c>
      <x:c r="K105" s="16" t="str">
        <x:v>CHINA</x:v>
      </x:c>
      <x:c r="L105" s="16" t="str">
        <x:v>https://www.worldbridge.org/competitions/the-world-youth-team-championships/</x:v>
      </x:c>
    </x:row>
    <x:row r="106">
      <x:c r="A106" s="35" t="str">
        <x:v>WBF-020</x:v>
      </x:c>
      <x:c r="B106" s="35" t="str">
        <x:v>Kai Lu</x:v>
      </x:c>
      <x:c r="C106" s="35" t="str"/>
      <x:c r="D106" s="35" t="str">
        <x:v>未核实中文写法（最佳猜测及依据见专表）</x:v>
      </x:c>
      <x:c r="E106" s="35" t="str">
        <x:v>2012-07-25—2012-08-04</x:v>
      </x:c>
      <x:c r="F106" s="35" t="str">
        <x:v>太仓，中国</x:v>
      </x:c>
      <x:c r="G106" s="35" t="str">
        <x:v>世界青年团体锦标赛</x:v>
      </x:c>
      <x:c r="H106" s="35" t="str">
        <x:v>U26 Teams</x:v>
      </x:c>
      <x:c r="I106" s="35" t="n">
        <x:v>3</x:v>
      </x:c>
      <x:c r="J106" s="35" t="str">
        <x:v>铜牌</x:v>
      </x:c>
      <x:c r="K106" s="35" t="str">
        <x:v>CHINA</x:v>
      </x:c>
      <x:c r="L106" s="35" t="str">
        <x:v>https://www.worldbridge.org/competitions/the-world-youth-team-championships/</x:v>
      </x:c>
    </x:row>
    <x:row r="107">
      <x:c r="A107" s="16" t="str">
        <x:v>WBF-020</x:v>
      </x:c>
      <x:c r="B107" s="16" t="str">
        <x:v>Yinpei Shao</x:v>
      </x:c>
      <x:c r="C107" s="16" t="str"/>
      <x:c r="D107" s="16" t="str">
        <x:v>未核实中文写法（最佳猜测及依据见专表）</x:v>
      </x:c>
      <x:c r="E107" s="16" t="str">
        <x:v>2012-07-25—2012-08-04</x:v>
      </x:c>
      <x:c r="F107" s="16" t="str">
        <x:v>太仓，中国</x:v>
      </x:c>
      <x:c r="G107" s="16" t="str">
        <x:v>世界青年团体锦标赛</x:v>
      </x:c>
      <x:c r="H107" s="16" t="str">
        <x:v>U26 Teams</x:v>
      </x:c>
      <x:c r="I107" s="16" t="n">
        <x:v>3</x:v>
      </x:c>
      <x:c r="J107" s="16" t="str">
        <x:v>铜牌</x:v>
      </x:c>
      <x:c r="K107" s="16" t="str">
        <x:v>CHINA</x:v>
      </x:c>
      <x:c r="L107" s="16" t="str">
        <x:v>https://www.worldbridge.org/competitions/the-world-youth-team-championships/</x:v>
      </x:c>
    </x:row>
    <x:row r="108">
      <x:c r="A108" s="35" t="str">
        <x:v>WBF-020</x:v>
      </x:c>
      <x:c r="B108" s="35" t="str">
        <x:v>Jianqiu Shen</x:v>
      </x:c>
      <x:c r="C108" s="35" t="str"/>
      <x:c r="D108" s="35" t="str">
        <x:v>未核实中文写法（最佳猜测及依据见专表）</x:v>
      </x:c>
      <x:c r="E108" s="35" t="str">
        <x:v>2012-07-25—2012-08-04</x:v>
      </x:c>
      <x:c r="F108" s="35" t="str">
        <x:v>太仓，中国</x:v>
      </x:c>
      <x:c r="G108" s="35" t="str">
        <x:v>世界青年团体锦标赛</x:v>
      </x:c>
      <x:c r="H108" s="35" t="str">
        <x:v>U26 Teams</x:v>
      </x:c>
      <x:c r="I108" s="35" t="n">
        <x:v>3</x:v>
      </x:c>
      <x:c r="J108" s="35" t="str">
        <x:v>铜牌</x:v>
      </x:c>
      <x:c r="K108" s="35" t="str">
        <x:v>CHINA</x:v>
      </x:c>
      <x:c r="L108" s="35" t="str">
        <x:v>https://www.worldbridge.org/competitions/the-world-youth-team-championships/</x:v>
      </x:c>
    </x:row>
    <x:row r="109">
      <x:c r="A109" s="16" t="str">
        <x:v>WBF-021</x:v>
      </x:c>
      <x:c r="B109" s="16" t="str">
        <x:v>Mao Yuan Hu</x:v>
      </x:c>
      <x:c r="C109" s="16" t="str"/>
      <x:c r="D109" s="16" t="str">
        <x:v>未核实中文写法（最佳猜测及依据见专表）</x:v>
      </x:c>
      <x:c r="E109" s="16" t="str">
        <x:v>2013</x:v>
      </x:c>
      <x:c r="F109" s="16" t="str">
        <x:v>巴厘岛，印度尼西亚</x:v>
      </x:c>
      <x:c r="G109" s="16" t="str">
        <x:v>世界桥牌团体锦标赛</x:v>
      </x:c>
      <x:c r="H109" s="16" t="str">
        <x:v>Transnational Open Teams 跨国公开团体</x:v>
      </x:c>
      <x:c r="I109" s="16" t="n">
        <x:v>2</x:v>
      </x:c>
      <x:c r="J109" s="16" t="str">
        <x:v>银牌</x:v>
      </x:c>
      <x:c r="K109" s="16" t="str">
        <x:v>CHINA</x:v>
      </x:c>
      <x:c r="L109" s="16" t="str">
        <x:v>https://www.wbfmasterpoints.com/Medalsreport.asp</x:v>
      </x:c>
    </x:row>
    <x:row r="110">
      <x:c r="A110" s="35" t="str">
        <x:v>WBF-021</x:v>
      </x:c>
      <x:c r="B110" s="35" t="str">
        <x:v>Li Xin Yang</x:v>
      </x:c>
      <x:c r="C110" s="35" t="str"/>
      <x:c r="D110" s="35" t="str">
        <x:v>未核实中文写法（最佳猜测及依据见专表）</x:v>
      </x:c>
      <x:c r="E110" s="35" t="str">
        <x:v>2013</x:v>
      </x:c>
      <x:c r="F110" s="35" t="str">
        <x:v>巴厘岛，印度尼西亚</x:v>
      </x:c>
      <x:c r="G110" s="35" t="str">
        <x:v>世界桥牌团体锦标赛</x:v>
      </x:c>
      <x:c r="H110" s="35" t="str">
        <x:v>Transnational Open Teams 跨国公开团体</x:v>
      </x:c>
      <x:c r="I110" s="35" t="n">
        <x:v>2</x:v>
      </x:c>
      <x:c r="J110" s="35" t="str">
        <x:v>银牌</x:v>
      </x:c>
      <x:c r="K110" s="35" t="str">
        <x:v>CHINA</x:v>
      </x:c>
      <x:c r="L110" s="35" t="str">
        <x:v>https://www.wbfmasterpoints.com/Medalsreport.asp</x:v>
      </x:c>
    </x:row>
    <x:row r="111">
      <x:c r="A111" s="16" t="str">
        <x:v>WBF-021</x:v>
      </x:c>
      <x:c r="B111" s="16" t="str">
        <x:v>Jian Ming Dai</x:v>
      </x:c>
      <x:c r="C111" s="16" t="str"/>
      <x:c r="D111" s="16" t="str">
        <x:v>未核实中文写法（最佳猜测及依据见专表）</x:v>
      </x:c>
      <x:c r="E111" s="16" t="str">
        <x:v>2013</x:v>
      </x:c>
      <x:c r="F111" s="16" t="str">
        <x:v>巴厘岛，印度尼西亚</x:v>
      </x:c>
      <x:c r="G111" s="16" t="str">
        <x:v>世界桥牌团体锦标赛</x:v>
      </x:c>
      <x:c r="H111" s="16" t="str">
        <x:v>Transnational Open Teams 跨国公开团体</x:v>
      </x:c>
      <x:c r="I111" s="16" t="n">
        <x:v>2</x:v>
      </x:c>
      <x:c r="J111" s="16" t="str">
        <x:v>银牌</x:v>
      </x:c>
      <x:c r="K111" s="16" t="str">
        <x:v>CHINA</x:v>
      </x:c>
      <x:c r="L111" s="16" t="str">
        <x:v>https://www.wbfmasterpoints.com/Medalsreport.asp</x:v>
      </x:c>
    </x:row>
    <x:row r="112">
      <x:c r="A112" s="35" t="str">
        <x:v>WBF-021</x:v>
      </x:c>
      <x:c r="B112" s="35" t="str">
        <x:v>Zejun Zhuang</x:v>
      </x:c>
      <x:c r="C112" s="35" t="str"/>
      <x:c r="D112" s="35" t="str">
        <x:v>未核实中文写法（最佳猜测及依据见专表）</x:v>
      </x:c>
      <x:c r="E112" s="35" t="str">
        <x:v>2013</x:v>
      </x:c>
      <x:c r="F112" s="35" t="str">
        <x:v>巴厘岛，印度尼西亚</x:v>
      </x:c>
      <x:c r="G112" s="35" t="str">
        <x:v>世界桥牌团体锦标赛</x:v>
      </x:c>
      <x:c r="H112" s="35" t="str">
        <x:v>Transnational Open Teams 跨国公开团体</x:v>
      </x:c>
      <x:c r="I112" s="35" t="n">
        <x:v>2</x:v>
      </x:c>
      <x:c r="J112" s="35" t="str">
        <x:v>银牌</x:v>
      </x:c>
      <x:c r="K112" s="35" t="str">
        <x:v>CHINA</x:v>
      </x:c>
      <x:c r="L112" s="35" t="str">
        <x:v>https://www.wbfmasterpoints.com/Medalsreport.asp</x:v>
      </x:c>
    </x:row>
    <x:row r="113">
      <x:c r="A113" s="16" t="str">
        <x:v>WBF-021</x:v>
      </x:c>
      <x:c r="B113" s="16" t="str">
        <x:v>Zi Jian Shao</x:v>
      </x:c>
      <x:c r="C113" s="16" t="str"/>
      <x:c r="D113" s="16" t="str">
        <x:v>未核实中文写法（最佳猜测及依据见专表）</x:v>
      </x:c>
      <x:c r="E113" s="16" t="str">
        <x:v>2013</x:v>
      </x:c>
      <x:c r="F113" s="16" t="str">
        <x:v>巴厘岛，印度尼西亚</x:v>
      </x:c>
      <x:c r="G113" s="16" t="str">
        <x:v>世界桥牌团体锦标赛</x:v>
      </x:c>
      <x:c r="H113" s="16" t="str">
        <x:v>Transnational Open Teams 跨国公开团体</x:v>
      </x:c>
      <x:c r="I113" s="16" t="n">
        <x:v>2</x:v>
      </x:c>
      <x:c r="J113" s="16" t="str">
        <x:v>银牌</x:v>
      </x:c>
      <x:c r="K113" s="16" t="str">
        <x:v>CHINA</x:v>
      </x:c>
      <x:c r="L113" s="16" t="str">
        <x:v>https://www.wbfmasterpoints.com/Medalsreport.asp</x:v>
      </x:c>
    </x:row>
    <x:row r="114">
      <x:c r="A114" s="35" t="str">
        <x:v>WBF-021</x:v>
      </x:c>
      <x:c r="B114" s="35" t="str">
        <x:v>Yi Qian Liu</x:v>
      </x:c>
      <x:c r="C114" s="35" t="str">
        <x:v>刘逸倩</x:v>
      </x:c>
      <x:c r="D114" s="35" t="str">
        <x:v>已由中文报道核对</x:v>
      </x:c>
      <x:c r="E114" s="35" t="str">
        <x:v>2013</x:v>
      </x:c>
      <x:c r="F114" s="35" t="str">
        <x:v>巴厘岛，印度尼西亚</x:v>
      </x:c>
      <x:c r="G114" s="35" t="str">
        <x:v>世界桥牌团体锦标赛</x:v>
      </x:c>
      <x:c r="H114" s="35" t="str">
        <x:v>Transnational Open Teams 跨国公开团体</x:v>
      </x:c>
      <x:c r="I114" s="35" t="n">
        <x:v>2</x:v>
      </x:c>
      <x:c r="J114" s="35" t="str">
        <x:v>银牌</x:v>
      </x:c>
      <x:c r="K114" s="35" t="str">
        <x:v>CHINA</x:v>
      </x:c>
      <x:c r="L114" s="35" t="str">
        <x:v>https://www.wbfmasterpoints.com/Medalsreport.asp</x:v>
      </x:c>
    </x:row>
    <x:row r="115">
      <x:c r="A115" s="16" t="str">
        <x:v>WBF-022</x:v>
      </x:c>
      <x:c r="B115" s="16" t="str">
        <x:v>Kai Jin</x:v>
      </x:c>
      <x:c r="C115" s="16" t="str"/>
      <x:c r="D115" s="16" t="str">
        <x:v>未核实中文写法（最佳猜测及依据见专表）</x:v>
      </x:c>
      <x:c r="E115" s="16" t="str">
        <x:v>2013</x:v>
      </x:c>
      <x:c r="F115" s="16" t="str">
        <x:v>亚特兰大，美国</x:v>
      </x:c>
      <x:c r="G115" s="16" t="str">
        <x:v>第3届世界青年公开锦标赛</x:v>
      </x:c>
      <x:c r="H115" s="16" t="str">
        <x:v>U21 Pairs / Youngsters Pairs</x:v>
      </x:c>
      <x:c r="I115" s="16" t="n">
        <x:v>3</x:v>
      </x:c>
      <x:c r="J115" s="16" t="str">
        <x:v>铜牌</x:v>
      </x:c>
      <x:c r="K115" s="16" t="str">
        <x:v>Kai Jin – Tianyi Jin</x:v>
      </x:c>
      <x:c r="L115" s="16" t="str">
        <x:v>https://www.worldbridge.org/competitions/the-world-youth-transnational-bridge-championships/</x:v>
      </x:c>
    </x:row>
    <x:row r="116">
      <x:c r="A116" s="35" t="str">
        <x:v>WBF-022</x:v>
      </x:c>
      <x:c r="B116" s="35" t="str">
        <x:v>Tianyi Jin</x:v>
      </x:c>
      <x:c r="C116" s="35" t="str"/>
      <x:c r="D116" s="35" t="str">
        <x:v>未核实中文写法（最佳猜测及依据见专表）</x:v>
      </x:c>
      <x:c r="E116" s="35" t="str">
        <x:v>2013</x:v>
      </x:c>
      <x:c r="F116" s="35" t="str">
        <x:v>亚特兰大，美国</x:v>
      </x:c>
      <x:c r="G116" s="35" t="str">
        <x:v>第3届世界青年公开锦标赛</x:v>
      </x:c>
      <x:c r="H116" s="35" t="str">
        <x:v>U21 Pairs / Youngsters Pairs</x:v>
      </x:c>
      <x:c r="I116" s="35" t="n">
        <x:v>3</x:v>
      </x:c>
      <x:c r="J116" s="35" t="str">
        <x:v>铜牌</x:v>
      </x:c>
      <x:c r="K116" s="35" t="str">
        <x:v>Kai Jin – Tianyi Jin</x:v>
      </x:c>
      <x:c r="L116" s="35" t="str">
        <x:v>https://www.worldbridge.org/competitions/the-world-youth-transnational-bridge-championships/</x:v>
      </x:c>
    </x:row>
    <x:row r="117">
      <x:c r="A117" s="16" t="str">
        <x:v>WBF-023</x:v>
      </x:c>
      <x:c r="B117" s="16" t="str">
        <x:v>Kai Jin</x:v>
      </x:c>
      <x:c r="C117" s="16" t="str"/>
      <x:c r="D117" s="16" t="str">
        <x:v>未核实中文写法（最佳猜测及依据见专表）</x:v>
      </x:c>
      <x:c r="E117" s="16" t="str">
        <x:v>2013</x:v>
      </x:c>
      <x:c r="F117" s="16" t="str">
        <x:v>亚特兰大，美国</x:v>
      </x:c>
      <x:c r="G117" s="16" t="str">
        <x:v>第3届世界青年公开锦标赛</x:v>
      </x:c>
      <x:c r="H117" s="16" t="str">
        <x:v>U21 Teams / Youngsters Teams</x:v>
      </x:c>
      <x:c r="I117" s="16" t="n">
        <x:v>3</x:v>
      </x:c>
      <x:c r="J117" s="16" t="str">
        <x:v>铜牌</x:v>
      </x:c>
      <x:c r="K117" s="16" t="str">
        <x:v>CHINA XNWY</x:v>
      </x:c>
      <x:c r="L117" s="16" t="str">
        <x:v>https://www.worldbridge.org/competitions/the-world-youth-transnational-bridge-championships/the-u21-teams/</x:v>
      </x:c>
    </x:row>
    <x:row r="118">
      <x:c r="A118" s="35" t="str">
        <x:v>WBF-023</x:v>
      </x:c>
      <x:c r="B118" s="35" t="str">
        <x:v>Felicia Yu</x:v>
      </x:c>
      <x:c r="C118" s="35" t="str"/>
      <x:c r="D118" s="35" t="str">
        <x:v>未核实中文写法（最佳猜测及依据见专表）</x:v>
      </x:c>
      <x:c r="E118" s="35" t="str">
        <x:v>2013</x:v>
      </x:c>
      <x:c r="F118" s="35" t="str">
        <x:v>亚特兰大，美国</x:v>
      </x:c>
      <x:c r="G118" s="35" t="str">
        <x:v>第3届世界青年公开锦标赛</x:v>
      </x:c>
      <x:c r="H118" s="35" t="str">
        <x:v>U21 Teams / Youngsters Teams</x:v>
      </x:c>
      <x:c r="I118" s="35" t="n">
        <x:v>3</x:v>
      </x:c>
      <x:c r="J118" s="35" t="str">
        <x:v>铜牌</x:v>
      </x:c>
      <x:c r="K118" s="35" t="str">
        <x:v>CHINA XNWY</x:v>
      </x:c>
      <x:c r="L118" s="35" t="str">
        <x:v>https://www.worldbridge.org/competitions/the-world-youth-transnational-bridge-championships/the-u21-teams/</x:v>
      </x:c>
    </x:row>
    <x:row r="119">
      <x:c r="A119" s="16" t="str">
        <x:v>WBF-023</x:v>
      </x:c>
      <x:c r="B119" s="16" t="str">
        <x:v>Kaiwen Yu</x:v>
      </x:c>
      <x:c r="C119" s="16" t="str"/>
      <x:c r="D119" s="16" t="str">
        <x:v>未核实中文写法（最佳猜测及依据见专表）</x:v>
      </x:c>
      <x:c r="E119" s="16" t="str">
        <x:v>2013</x:v>
      </x:c>
      <x:c r="F119" s="16" t="str">
        <x:v>亚特兰大，美国</x:v>
      </x:c>
      <x:c r="G119" s="16" t="str">
        <x:v>第3届世界青年公开锦标赛</x:v>
      </x:c>
      <x:c r="H119" s="16" t="str">
        <x:v>U21 Teams / Youngsters Teams</x:v>
      </x:c>
      <x:c r="I119" s="16" t="n">
        <x:v>3</x:v>
      </x:c>
      <x:c r="J119" s="16" t="str">
        <x:v>铜牌</x:v>
      </x:c>
      <x:c r="K119" s="16" t="str">
        <x:v>CHINA XNWY</x:v>
      </x:c>
      <x:c r="L119" s="16" t="str">
        <x:v>https://www.worldbridge.org/competitions/the-world-youth-transnational-bridge-championships/the-u21-teams/</x:v>
      </x:c>
    </x:row>
    <x:row r="120">
      <x:c r="A120" s="35" t="str">
        <x:v>WBF-023</x:v>
      </x:c>
      <x:c r="B120" s="35" t="str">
        <x:v>Yiling Shen</x:v>
      </x:c>
      <x:c r="C120" s="35" t="str"/>
      <x:c r="D120" s="35" t="str">
        <x:v>未核实中文写法（最佳猜测及依据见专表）</x:v>
      </x:c>
      <x:c r="E120" s="35" t="str">
        <x:v>2013</x:v>
      </x:c>
      <x:c r="F120" s="35" t="str">
        <x:v>亚特兰大，美国</x:v>
      </x:c>
      <x:c r="G120" s="35" t="str">
        <x:v>第3届世界青年公开锦标赛</x:v>
      </x:c>
      <x:c r="H120" s="35" t="str">
        <x:v>U21 Teams / Youngsters Teams</x:v>
      </x:c>
      <x:c r="I120" s="35" t="n">
        <x:v>3</x:v>
      </x:c>
      <x:c r="J120" s="35" t="str">
        <x:v>铜牌</x:v>
      </x:c>
      <x:c r="K120" s="35" t="str">
        <x:v>CHINA XNWY</x:v>
      </x:c>
      <x:c r="L120" s="35" t="str">
        <x:v>https://www.worldbridge.org/competitions/the-world-youth-transnational-bridge-championships/the-u21-teams/</x:v>
      </x:c>
    </x:row>
    <x:row r="121">
      <x:c r="A121" s="16" t="str">
        <x:v>WBF-023</x:v>
      </x:c>
      <x:c r="B121" s="16" t="str">
        <x:v>Tianyi Jin</x:v>
      </x:c>
      <x:c r="C121" s="16" t="str"/>
      <x:c r="D121" s="16" t="str">
        <x:v>未核实中文写法（最佳猜测及依据见专表）</x:v>
      </x:c>
      <x:c r="E121" s="16" t="str">
        <x:v>2013</x:v>
      </x:c>
      <x:c r="F121" s="16" t="str">
        <x:v>亚特兰大，美国</x:v>
      </x:c>
      <x:c r="G121" s="16" t="str">
        <x:v>第3届世界青年公开锦标赛</x:v>
      </x:c>
      <x:c r="H121" s="16" t="str">
        <x:v>U21 Teams / Youngsters Teams</x:v>
      </x:c>
      <x:c r="I121" s="16" t="n">
        <x:v>3</x:v>
      </x:c>
      <x:c r="J121" s="16" t="str">
        <x:v>铜牌</x:v>
      </x:c>
      <x:c r="K121" s="16" t="str">
        <x:v>CHINA XNWY</x:v>
      </x:c>
      <x:c r="L121" s="16" t="str">
        <x:v>https://www.worldbridge.org/competitions/the-world-youth-transnational-bridge-championships/the-u21-teams/</x:v>
      </x:c>
    </x:row>
    <x:row r="122">
      <x:c r="A122" s="35" t="str">
        <x:v>WBF-023</x:v>
      </x:c>
      <x:c r="B122" s="35" t="str">
        <x:v>Zhizhou Sha</x:v>
      </x:c>
      <x:c r="C122" s="35" t="str"/>
      <x:c r="D122" s="35" t="str">
        <x:v>未核实中文写法（最佳猜测及依据见专表）</x:v>
      </x:c>
      <x:c r="E122" s="35" t="str">
        <x:v>2013</x:v>
      </x:c>
      <x:c r="F122" s="35" t="str">
        <x:v>亚特兰大，美国</x:v>
      </x:c>
      <x:c r="G122" s="35" t="str">
        <x:v>第3届世界青年公开锦标赛</x:v>
      </x:c>
      <x:c r="H122" s="35" t="str">
        <x:v>U21 Teams / Youngsters Teams</x:v>
      </x:c>
      <x:c r="I122" s="35" t="n">
        <x:v>3</x:v>
      </x:c>
      <x:c r="J122" s="35" t="str">
        <x:v>铜牌</x:v>
      </x:c>
      <x:c r="K122" s="35" t="str">
        <x:v>CHINA XNWY</x:v>
      </x:c>
      <x:c r="L122" s="35" t="str">
        <x:v>https://www.worldbridge.org/competitions/the-world-youth-transnational-bridge-championships/the-u21-teams/</x:v>
      </x:c>
    </x:row>
    <x:row r="123">
      <x:c r="A123" s="16" t="str">
        <x:v>WBF-024</x:v>
      </x:c>
      <x:c r="B123" s="16" t="str">
        <x:v>Zhiyu Cheng</x:v>
      </x:c>
      <x:c r="C123" s="16" t="str"/>
      <x:c r="D123" s="16" t="str">
        <x:v>未核实中文写法（最佳猜测及依据见专表）</x:v>
      </x:c>
      <x:c r="E123" s="16" t="str">
        <x:v>2014-08-13—2014-08-23</x:v>
      </x:c>
      <x:c r="F123" s="16" t="str">
        <x:v>伊斯坦布尔，土耳其</x:v>
      </x:c>
      <x:c r="G123" s="16" t="str">
        <x:v>世界青年团体锦标赛</x:v>
      </x:c>
      <x:c r="H123" s="16" t="str">
        <x:v>U16 Teams</x:v>
      </x:c>
      <x:c r="I123" s="16" t="n">
        <x:v>3</x:v>
      </x:c>
      <x:c r="J123" s="16" t="str">
        <x:v>铜牌</x:v>
      </x:c>
      <x:c r="K123" s="16" t="str">
        <x:v>CHINA</x:v>
      </x:c>
      <x:c r="L123" s="16" t="str">
        <x:v>https://www.worldbridge.org/competitions/the-world-youth-team-championships/</x:v>
      </x:c>
    </x:row>
    <x:row r="124">
      <x:c r="A124" s="35" t="str">
        <x:v>WBF-024</x:v>
      </x:c>
      <x:c r="B124" s="35" t="str">
        <x:v>Dongke Fang</x:v>
      </x:c>
      <x:c r="C124" s="35" t="str"/>
      <x:c r="D124" s="35" t="str">
        <x:v>未核实中文写法（最佳猜测及依据见专表）</x:v>
      </x:c>
      <x:c r="E124" s="35" t="str">
        <x:v>2014-08-13—2014-08-23</x:v>
      </x:c>
      <x:c r="F124" s="35" t="str">
        <x:v>伊斯坦布尔，土耳其</x:v>
      </x:c>
      <x:c r="G124" s="35" t="str">
        <x:v>世界青年团体锦标赛</x:v>
      </x:c>
      <x:c r="H124" s="35" t="str">
        <x:v>U16 Teams</x:v>
      </x:c>
      <x:c r="I124" s="35" t="n">
        <x:v>3</x:v>
      </x:c>
      <x:c r="J124" s="35" t="str">
        <x:v>铜牌</x:v>
      </x:c>
      <x:c r="K124" s="35" t="str">
        <x:v>CHINA</x:v>
      </x:c>
      <x:c r="L124" s="35" t="str">
        <x:v>https://www.worldbridge.org/competitions/the-world-youth-team-championships/</x:v>
      </x:c>
    </x:row>
    <x:row r="125">
      <x:c r="A125" s="16" t="str">
        <x:v>WBF-024</x:v>
      </x:c>
      <x:c r="B125" s="16" t="str">
        <x:v>Baozhuo Jiang</x:v>
      </x:c>
      <x:c r="C125" s="16" t="str"/>
      <x:c r="D125" s="16" t="str">
        <x:v>未核实中文写法（最佳猜测及依据见专表）</x:v>
      </x:c>
      <x:c r="E125" s="16" t="str">
        <x:v>2014-08-13—2014-08-23</x:v>
      </x:c>
      <x:c r="F125" s="16" t="str">
        <x:v>伊斯坦布尔，土耳其</x:v>
      </x:c>
      <x:c r="G125" s="16" t="str">
        <x:v>世界青年团体锦标赛</x:v>
      </x:c>
      <x:c r="H125" s="16" t="str">
        <x:v>U16 Teams</x:v>
      </x:c>
      <x:c r="I125" s="16" t="n">
        <x:v>3</x:v>
      </x:c>
      <x:c r="J125" s="16" t="str">
        <x:v>铜牌</x:v>
      </x:c>
      <x:c r="K125" s="16" t="str">
        <x:v>CHINA</x:v>
      </x:c>
      <x:c r="L125" s="16" t="str">
        <x:v>https://www.worldbridge.org/competitions/the-world-youth-team-championships/</x:v>
      </x:c>
    </x:row>
    <x:row r="126">
      <x:c r="A126" s="35" t="str">
        <x:v>WBF-024</x:v>
      </x:c>
      <x:c r="B126" s="35" t="str">
        <x:v>Randy Pan</x:v>
      </x:c>
      <x:c r="C126" s="35" t="str"/>
      <x:c r="D126" s="35" t="str">
        <x:v>未核实中文写法（最佳猜测及依据见专表）</x:v>
      </x:c>
      <x:c r="E126" s="35" t="str">
        <x:v>2014-08-13—2014-08-23</x:v>
      </x:c>
      <x:c r="F126" s="35" t="str">
        <x:v>伊斯坦布尔，土耳其</x:v>
      </x:c>
      <x:c r="G126" s="35" t="str">
        <x:v>世界青年团体锦标赛</x:v>
      </x:c>
      <x:c r="H126" s="35" t="str">
        <x:v>U16 Teams</x:v>
      </x:c>
      <x:c r="I126" s="35" t="n">
        <x:v>3</x:v>
      </x:c>
      <x:c r="J126" s="35" t="str">
        <x:v>铜牌</x:v>
      </x:c>
      <x:c r="K126" s="35" t="str">
        <x:v>CHINA</x:v>
      </x:c>
      <x:c r="L126" s="35" t="str">
        <x:v>https://www.worldbridge.org/competitions/the-world-youth-team-championships/</x:v>
      </x:c>
    </x:row>
    <x:row r="127">
      <x:c r="A127" s="16" t="str">
        <x:v>WBF-024</x:v>
      </x:c>
      <x:c r="B127" s="16" t="str">
        <x:v>Jiahe Shen</x:v>
      </x:c>
      <x:c r="C127" s="16" t="str"/>
      <x:c r="D127" s="16" t="str">
        <x:v>未核实中文写法（最佳猜测及依据见专表）</x:v>
      </x:c>
      <x:c r="E127" s="16" t="str">
        <x:v>2014-08-13—2014-08-23</x:v>
      </x:c>
      <x:c r="F127" s="16" t="str">
        <x:v>伊斯坦布尔，土耳其</x:v>
      </x:c>
      <x:c r="G127" s="16" t="str">
        <x:v>世界青年团体锦标赛</x:v>
      </x:c>
      <x:c r="H127" s="16" t="str">
        <x:v>U16 Teams</x:v>
      </x:c>
      <x:c r="I127" s="16" t="n">
        <x:v>3</x:v>
      </x:c>
      <x:c r="J127" s="16" t="str">
        <x:v>铜牌</x:v>
      </x:c>
      <x:c r="K127" s="16" t="str">
        <x:v>CHINA</x:v>
      </x:c>
      <x:c r="L127" s="16" t="str">
        <x:v>https://www.worldbridge.org/competitions/the-world-youth-team-championships/</x:v>
      </x:c>
    </x:row>
    <x:row r="128">
      <x:c r="A128" s="35" t="str">
        <x:v>WBF-024</x:v>
      </x:c>
      <x:c r="B128" s="35" t="str">
        <x:v>Zihan Wang</x:v>
      </x:c>
      <x:c r="C128" s="35" t="str"/>
      <x:c r="D128" s="35" t="str">
        <x:v>未核实中文写法（最佳猜测及依据见专表）</x:v>
      </x:c>
      <x:c r="E128" s="35" t="str">
        <x:v>2014-08-13—2014-08-23</x:v>
      </x:c>
      <x:c r="F128" s="35" t="str">
        <x:v>伊斯坦布尔，土耳其</x:v>
      </x:c>
      <x:c r="G128" s="35" t="str">
        <x:v>世界青年团体锦标赛</x:v>
      </x:c>
      <x:c r="H128" s="35" t="str">
        <x:v>U16 Teams</x:v>
      </x:c>
      <x:c r="I128" s="35" t="n">
        <x:v>3</x:v>
      </x:c>
      <x:c r="J128" s="35" t="str">
        <x:v>铜牌</x:v>
      </x:c>
      <x:c r="K128" s="35" t="str">
        <x:v>CHINA</x:v>
      </x:c>
      <x:c r="L128" s="35" t="str">
        <x:v>https://www.worldbridge.org/competitions/the-world-youth-team-championships/</x:v>
      </x:c>
    </x:row>
    <x:row r="129">
      <x:c r="A129" s="16" t="str">
        <x:v>WBF-025</x:v>
      </x:c>
      <x:c r="B129" s="16" t="str">
        <x:v>Li Chen</x:v>
      </x:c>
      <x:c r="C129" s="16" t="str"/>
      <x:c r="D129" s="16" t="str">
        <x:v>未核实中文写法（最佳猜测及依据见专表）</x:v>
      </x:c>
      <x:c r="E129" s="16" t="str">
        <x:v>2014-08-13—2014-08-23</x:v>
      </x:c>
      <x:c r="F129" s="16" t="str">
        <x:v>伊斯坦布尔，土耳其</x:v>
      </x:c>
      <x:c r="G129" s="16" t="str">
        <x:v>世界青年团体锦标赛</x:v>
      </x:c>
      <x:c r="H129" s="16" t="str">
        <x:v>U26 Women Teams</x:v>
      </x:c>
      <x:c r="I129" s="16" t="n">
        <x:v>2</x:v>
      </x:c>
      <x:c r="J129" s="16" t="str">
        <x:v>银牌</x:v>
      </x:c>
      <x:c r="K129" s="16" t="str">
        <x:v>CHINA</x:v>
      </x:c>
      <x:c r="L129" s="16" t="str">
        <x:v>https://www.worldbridge.org/competitions/the-world-youth-team-championships/</x:v>
      </x:c>
    </x:row>
    <x:row r="130">
      <x:c r="A130" s="35" t="str">
        <x:v>WBF-025</x:v>
      </x:c>
      <x:c r="B130" s="35" t="str">
        <x:v>Bo Fu</x:v>
      </x:c>
      <x:c r="C130" s="35" t="str">
        <x:v>傅博</x:v>
      </x:c>
      <x:c r="D130" s="35" t="str">
        <x:v>已由中文报道核对</x:v>
      </x:c>
      <x:c r="E130" s="35" t="str">
        <x:v>2014-08-13—2014-08-23</x:v>
      </x:c>
      <x:c r="F130" s="35" t="str">
        <x:v>伊斯坦布尔，土耳其</x:v>
      </x:c>
      <x:c r="G130" s="35" t="str">
        <x:v>世界青年团体锦标赛</x:v>
      </x:c>
      <x:c r="H130" s="35" t="str">
        <x:v>U26 Women Teams</x:v>
      </x:c>
      <x:c r="I130" s="35" t="n">
        <x:v>2</x:v>
      </x:c>
      <x:c r="J130" s="35" t="str">
        <x:v>银牌</x:v>
      </x:c>
      <x:c r="K130" s="35" t="str">
        <x:v>CHINA</x:v>
      </x:c>
      <x:c r="L130" s="35" t="str">
        <x:v>https://www.worldbridge.org/competitions/the-world-youth-team-championships/</x:v>
      </x:c>
    </x:row>
    <x:row r="131">
      <x:c r="A131" s="16" t="str">
        <x:v>WBF-025</x:v>
      </x:c>
      <x:c r="B131" s="16" t="str">
        <x:v>Hanxiao Li</x:v>
      </x:c>
      <x:c r="C131" s="16" t="str"/>
      <x:c r="D131" s="16" t="str">
        <x:v>未核实中文写法（最佳猜测及依据见专表）</x:v>
      </x:c>
      <x:c r="E131" s="16" t="str">
        <x:v>2014-08-13—2014-08-23</x:v>
      </x:c>
      <x:c r="F131" s="16" t="str">
        <x:v>伊斯坦布尔，土耳其</x:v>
      </x:c>
      <x:c r="G131" s="16" t="str">
        <x:v>世界青年团体锦标赛</x:v>
      </x:c>
      <x:c r="H131" s="16" t="str">
        <x:v>U26 Women Teams</x:v>
      </x:c>
      <x:c r="I131" s="16" t="n">
        <x:v>2</x:v>
      </x:c>
      <x:c r="J131" s="16" t="str">
        <x:v>银牌</x:v>
      </x:c>
      <x:c r="K131" s="16" t="str">
        <x:v>CHINA</x:v>
      </x:c>
      <x:c r="L131" s="16" t="str">
        <x:v>https://www.worldbridge.org/competitions/the-world-youth-team-championships/</x:v>
      </x:c>
    </x:row>
    <x:row r="132">
      <x:c r="A132" s="35" t="str">
        <x:v>WBF-025</x:v>
      </x:c>
      <x:c r="B132" s="35" t="str">
        <x:v>Xinyi Li</x:v>
      </x:c>
      <x:c r="C132" s="35" t="str"/>
      <x:c r="D132" s="35" t="str">
        <x:v>未核实中文写法（最佳猜测及依据见专表）</x:v>
      </x:c>
      <x:c r="E132" s="35" t="str">
        <x:v>2014-08-13—2014-08-23</x:v>
      </x:c>
      <x:c r="F132" s="35" t="str">
        <x:v>伊斯坦布尔，土耳其</x:v>
      </x:c>
      <x:c r="G132" s="35" t="str">
        <x:v>世界青年团体锦标赛</x:v>
      </x:c>
      <x:c r="H132" s="35" t="str">
        <x:v>U26 Women Teams</x:v>
      </x:c>
      <x:c r="I132" s="35" t="n">
        <x:v>2</x:v>
      </x:c>
      <x:c r="J132" s="35" t="str">
        <x:v>银牌</x:v>
      </x:c>
      <x:c r="K132" s="35" t="str">
        <x:v>CHINA</x:v>
      </x:c>
      <x:c r="L132" s="35" t="str">
        <x:v>https://www.worldbridge.org/competitions/the-world-youth-team-championships/</x:v>
      </x:c>
    </x:row>
    <x:row r="133">
      <x:c r="A133" s="16" t="str">
        <x:v>WBF-025</x:v>
      </x:c>
      <x:c r="B133" s="16" t="str">
        <x:v>Qihao Wu</x:v>
      </x:c>
      <x:c r="C133" s="16" t="str"/>
      <x:c r="D133" s="16" t="str">
        <x:v>未核实中文写法（最佳猜测及依据见专表）</x:v>
      </x:c>
      <x:c r="E133" s="16" t="str">
        <x:v>2014-08-13—2014-08-23</x:v>
      </x:c>
      <x:c r="F133" s="16" t="str">
        <x:v>伊斯坦布尔，土耳其</x:v>
      </x:c>
      <x:c r="G133" s="16" t="str">
        <x:v>世界青年团体锦标赛</x:v>
      </x:c>
      <x:c r="H133" s="16" t="str">
        <x:v>U26 Women Teams</x:v>
      </x:c>
      <x:c r="I133" s="16" t="n">
        <x:v>2</x:v>
      </x:c>
      <x:c r="J133" s="16" t="str">
        <x:v>银牌</x:v>
      </x:c>
      <x:c r="K133" s="16" t="str">
        <x:v>CHINA</x:v>
      </x:c>
      <x:c r="L133" s="16" t="str">
        <x:v>https://www.worldbridge.org/competitions/the-world-youth-team-championships/</x:v>
      </x:c>
    </x:row>
    <x:row r="134">
      <x:c r="A134" s="35" t="str">
        <x:v>WBF-025</x:v>
      </x:c>
      <x:c r="B134" s="35" t="str">
        <x:v>Bing Zhao</x:v>
      </x:c>
      <x:c r="C134" s="35" t="str"/>
      <x:c r="D134" s="35" t="str">
        <x:v>未核实中文写法（最佳猜测及依据见专表）</x:v>
      </x:c>
      <x:c r="E134" s="35" t="str">
        <x:v>2014-08-13—2014-08-23</x:v>
      </x:c>
      <x:c r="F134" s="35" t="str">
        <x:v>伊斯坦布尔，土耳其</x:v>
      </x:c>
      <x:c r="G134" s="35" t="str">
        <x:v>世界青年团体锦标赛</x:v>
      </x:c>
      <x:c r="H134" s="35" t="str">
        <x:v>U26 Women Teams</x:v>
      </x:c>
      <x:c r="I134" s="35" t="n">
        <x:v>2</x:v>
      </x:c>
      <x:c r="J134" s="35" t="str">
        <x:v>银牌</x:v>
      </x:c>
      <x:c r="K134" s="35" t="str">
        <x:v>CHINA</x:v>
      </x:c>
      <x:c r="L134" s="35" t="str">
        <x:v>https://www.worldbridge.org/competitions/the-world-youth-team-championships/</x:v>
      </x:c>
    </x:row>
    <x:row r="135">
      <x:c r="A135" s="16" t="str">
        <x:v>WBF-026</x:v>
      </x:c>
      <x:c r="B135" s="16" t="str">
        <x:v>Jie Zhao</x:v>
      </x:c>
      <x:c r="C135" s="16" t="str">
        <x:v>赵杰</x:v>
      </x:c>
      <x:c r="D135" s="16" t="str">
        <x:v>已由中文报道核对</x:v>
      </x:c>
      <x:c r="E135" s="16" t="str">
        <x:v>2014-10</x:v>
      </x:c>
      <x:c r="F135" s="16" t="str">
        <x:v>三亚，中国</x:v>
      </x:c>
      <x:c r="G135" s="16" t="str">
        <x:v>世界桥牌综合锦标赛</x:v>
      </x:c>
      <x:c r="H135" s="16" t="str">
        <x:v>Mixed Pairs 混合双人</x:v>
      </x:c>
      <x:c r="I135" s="16" t="n">
        <x:v>1</x:v>
      </x:c>
      <x:c r="J135" s="16" t="str">
        <x:v>金牌</x:v>
      </x:c>
      <x:c r="K135" s="16" t="str">
        <x:v>Jie Zhao – Kerri Sanborn</x:v>
      </x:c>
      <x:c r="L135" s="16" t="str">
        <x:v>https://www.wbfmasterpoints.com/Medalsreport.asp</x:v>
      </x:c>
    </x:row>
    <x:row r="136">
      <x:c r="A136" s="35" t="str">
        <x:v>WBF-027</x:v>
      </x:c>
      <x:c r="B136" s="35" t="str">
        <x:v>Bangxiang Zhang</x:v>
      </x:c>
      <x:c r="C136" s="35" t="str"/>
      <x:c r="D136" s="35" t="str">
        <x:v>未核实中文写法（最佳猜测及依据见专表）</x:v>
      </x:c>
      <x:c r="E136" s="35" t="str">
        <x:v>2014-10</x:v>
      </x:c>
      <x:c r="F136" s="35" t="str">
        <x:v>三亚，中国</x:v>
      </x:c>
      <x:c r="G136" s="35" t="str">
        <x:v>世界桥牌综合锦标赛</x:v>
      </x:c>
      <x:c r="H136" s="35" t="str">
        <x:v>Mixed Pairs 混合双人</x:v>
      </x:c>
      <x:c r="I136" s="35" t="n">
        <x:v>3</x:v>
      </x:c>
      <x:c r="J136" s="35" t="str">
        <x:v>铜牌</x:v>
      </x:c>
      <x:c r="K136" s="35" t="str">
        <x:v>Bangxiang Zhang – Nan Wang</x:v>
      </x:c>
      <x:c r="L136" s="35" t="str">
        <x:v>https://www.wbfmasterpoints.com/Medalsreport.asp</x:v>
      </x:c>
    </x:row>
    <x:row r="137">
      <x:c r="A137" s="16" t="str">
        <x:v>WBF-027</x:v>
      </x:c>
      <x:c r="B137" s="16" t="str">
        <x:v>Nan Wang</x:v>
      </x:c>
      <x:c r="C137" s="16" t="str">
        <x:v>王南</x:v>
      </x:c>
      <x:c r="D137" s="16" t="str">
        <x:v>已由中文报道核对</x:v>
      </x:c>
      <x:c r="E137" s="16" t="str">
        <x:v>2014-10</x:v>
      </x:c>
      <x:c r="F137" s="16" t="str">
        <x:v>三亚，中国</x:v>
      </x:c>
      <x:c r="G137" s="16" t="str">
        <x:v>世界桥牌综合锦标赛</x:v>
      </x:c>
      <x:c r="H137" s="16" t="str">
        <x:v>Mixed Pairs 混合双人</x:v>
      </x:c>
      <x:c r="I137" s="16" t="n">
        <x:v>3</x:v>
      </x:c>
      <x:c r="J137" s="16" t="str">
        <x:v>铜牌</x:v>
      </x:c>
      <x:c r="K137" s="16" t="str">
        <x:v>Bangxiang Zhang – Nan Wang</x:v>
      </x:c>
      <x:c r="L137" s="16" t="str">
        <x:v>https://www.wbfmasterpoints.com/Medalsreport.asp</x:v>
      </x:c>
    </x:row>
    <x:row r="138">
      <x:c r="A138" s="35" t="str">
        <x:v>WBF-028</x:v>
      </x:c>
      <x:c r="B138" s="35" t="str">
        <x:v>Liping Wang</x:v>
      </x:c>
      <x:c r="C138" s="35" t="str"/>
      <x:c r="D138" s="35" t="str">
        <x:v>未核实中文写法（最佳猜测及依据见专表）</x:v>
      </x:c>
      <x:c r="E138" s="35" t="str">
        <x:v>2014-10</x:v>
      </x:c>
      <x:c r="F138" s="35" t="str">
        <x:v>三亚，中国</x:v>
      </x:c>
      <x:c r="G138" s="35" t="str">
        <x:v>世界桥牌综合锦标赛</x:v>
      </x:c>
      <x:c r="H138" s="35" t="str">
        <x:v>Mixed Teams 混合团体</x:v>
      </x:c>
      <x:c r="I138" s="35" t="n">
        <x:v>2</x:v>
      </x:c>
      <x:c r="J138" s="35" t="str">
        <x:v>银牌</x:v>
      </x:c>
      <x:c r="K138" s="35" t="str">
        <x:v>CHINA</x:v>
      </x:c>
      <x:c r="L138" s="35" t="str">
        <x:v>https://www.wbfmasterpoints.com/Medalsreport.asp</x:v>
      </x:c>
    </x:row>
    <x:row r="139">
      <x:c r="A139" s="16" t="str">
        <x:v>WBF-028</x:v>
      </x:c>
      <x:c r="B139" s="16" t="str">
        <x:v>Hongli Wang</x:v>
      </x:c>
      <x:c r="C139" s="16" t="str">
        <x:v>王宏利</x:v>
      </x:c>
      <x:c r="D139" s="16" t="str">
        <x:v>已由中文报道核对</x:v>
      </x:c>
      <x:c r="E139" s="16" t="str">
        <x:v>2014-10</x:v>
      </x:c>
      <x:c r="F139" s="16" t="str">
        <x:v>三亚，中国</x:v>
      </x:c>
      <x:c r="G139" s="16" t="str">
        <x:v>世界桥牌综合锦标赛</x:v>
      </x:c>
      <x:c r="H139" s="16" t="str">
        <x:v>Mixed Teams 混合团体</x:v>
      </x:c>
      <x:c r="I139" s="16" t="n">
        <x:v>2</x:v>
      </x:c>
      <x:c r="J139" s="16" t="str">
        <x:v>银牌</x:v>
      </x:c>
      <x:c r="K139" s="16" t="str">
        <x:v>CHINA</x:v>
      </x:c>
      <x:c r="L139" s="16" t="str">
        <x:v>https://www.wbfmasterpoints.com/Medalsreport.asp</x:v>
      </x:c>
    </x:row>
    <x:row r="140">
      <x:c r="A140" s="35" t="str">
        <x:v>WBF-028</x:v>
      </x:c>
      <x:c r="B140" s="35" t="str">
        <x:v>Yu Zhang</x:v>
      </x:c>
      <x:c r="C140" s="35" t="str"/>
      <x:c r="D140" s="35" t="str">
        <x:v>未核实中文写法（最佳猜测及依据见专表）</x:v>
      </x:c>
      <x:c r="E140" s="35" t="str">
        <x:v>2014-10</x:v>
      </x:c>
      <x:c r="F140" s="35" t="str">
        <x:v>三亚，中国</x:v>
      </x:c>
      <x:c r="G140" s="35" t="str">
        <x:v>世界桥牌综合锦标赛</x:v>
      </x:c>
      <x:c r="H140" s="35" t="str">
        <x:v>Mixed Teams 混合团体</x:v>
      </x:c>
      <x:c r="I140" s="35" t="n">
        <x:v>2</x:v>
      </x:c>
      <x:c r="J140" s="35" t="str">
        <x:v>银牌</x:v>
      </x:c>
      <x:c r="K140" s="35" t="str">
        <x:v>CHINA</x:v>
      </x:c>
      <x:c r="L140" s="35" t="str">
        <x:v>https://www.wbfmasterpoints.com/Medalsreport.asp</x:v>
      </x:c>
    </x:row>
    <x:row r="141">
      <x:c r="A141" s="16" t="str">
        <x:v>WBF-028</x:v>
      </x:c>
      <x:c r="B141" s="16" t="str">
        <x:v>Li Xin Yang</x:v>
      </x:c>
      <x:c r="C141" s="16" t="str"/>
      <x:c r="D141" s="16" t="str">
        <x:v>未核实中文写法（最佳猜测及依据见专表）</x:v>
      </x:c>
      <x:c r="E141" s="16" t="str">
        <x:v>2014-10</x:v>
      </x:c>
      <x:c r="F141" s="16" t="str">
        <x:v>三亚，中国</x:v>
      </x:c>
      <x:c r="G141" s="16" t="str">
        <x:v>世界桥牌综合锦标赛</x:v>
      </x:c>
      <x:c r="H141" s="16" t="str">
        <x:v>Mixed Teams 混合团体</x:v>
      </x:c>
      <x:c r="I141" s="16" t="n">
        <x:v>2</x:v>
      </x:c>
      <x:c r="J141" s="16" t="str">
        <x:v>银牌</x:v>
      </x:c>
      <x:c r="K141" s="16" t="str">
        <x:v>CHINA</x:v>
      </x:c>
      <x:c r="L141" s="16" t="str">
        <x:v>https://www.wbfmasterpoints.com/Medalsreport.asp</x:v>
      </x:c>
    </x:row>
    <x:row r="142">
      <x:c r="A142" s="35" t="str">
        <x:v>WBF-028</x:v>
      </x:c>
      <x:c r="B142" s="35" t="str">
        <x:v>Jian Ming Dai</x:v>
      </x:c>
      <x:c r="C142" s="35" t="str"/>
      <x:c r="D142" s="35" t="str">
        <x:v>未核实中文写法（最佳猜测及依据见专表）</x:v>
      </x:c>
      <x:c r="E142" s="35" t="str">
        <x:v>2014-10</x:v>
      </x:c>
      <x:c r="F142" s="35" t="str">
        <x:v>三亚，中国</x:v>
      </x:c>
      <x:c r="G142" s="35" t="str">
        <x:v>世界桥牌综合锦标赛</x:v>
      </x:c>
      <x:c r="H142" s="35" t="str">
        <x:v>Mixed Teams 混合团体</x:v>
      </x:c>
      <x:c r="I142" s="35" t="n">
        <x:v>2</x:v>
      </x:c>
      <x:c r="J142" s="35" t="str">
        <x:v>银牌</x:v>
      </x:c>
      <x:c r="K142" s="35" t="str">
        <x:v>CHINA</x:v>
      </x:c>
      <x:c r="L142" s="35" t="str">
        <x:v>https://www.wbfmasterpoints.com/Medalsreport.asp</x:v>
      </x:c>
    </x:row>
    <x:row r="143">
      <x:c r="A143" s="16" t="str">
        <x:v>WBF-028</x:v>
      </x:c>
      <x:c r="B143" s="16" t="str">
        <x:v>Shengyue Gui</x:v>
      </x:c>
      <x:c r="C143" s="16" t="str"/>
      <x:c r="D143" s="16" t="str">
        <x:v>未核实中文写法（最佳猜测及依据见专表）</x:v>
      </x:c>
      <x:c r="E143" s="16" t="str">
        <x:v>2014-10</x:v>
      </x:c>
      <x:c r="F143" s="16" t="str">
        <x:v>三亚，中国</x:v>
      </x:c>
      <x:c r="G143" s="16" t="str">
        <x:v>世界桥牌综合锦标赛</x:v>
      </x:c>
      <x:c r="H143" s="16" t="str">
        <x:v>Mixed Teams 混合团体</x:v>
      </x:c>
      <x:c r="I143" s="16" t="n">
        <x:v>2</x:v>
      </x:c>
      <x:c r="J143" s="16" t="str">
        <x:v>银牌</x:v>
      </x:c>
      <x:c r="K143" s="16" t="str">
        <x:v>CHINA</x:v>
      </x:c>
      <x:c r="L143" s="16" t="str">
        <x:v>https://www.wbfmasterpoints.com/Medalsreport.asp</x:v>
      </x:c>
    </x:row>
    <x:row r="144">
      <x:c r="A144" s="35" t="str">
        <x:v>WBF-029</x:v>
      </x:c>
      <x:c r="B144" s="35" t="str">
        <x:v>Mao Yuan Hu</x:v>
      </x:c>
      <x:c r="C144" s="35" t="str"/>
      <x:c r="D144" s="35" t="str">
        <x:v>未核实中文写法（最佳猜测及依据见专表）</x:v>
      </x:c>
      <x:c r="E144" s="35" t="str">
        <x:v>2014-10</x:v>
      </x:c>
      <x:c r="F144" s="35" t="str">
        <x:v>三亚，中国</x:v>
      </x:c>
      <x:c r="G144" s="35" t="str">
        <x:v>世界桥牌综合锦标赛</x:v>
      </x:c>
      <x:c r="H144" s="35" t="str">
        <x:v>Mixed Teams 混合团体</x:v>
      </x:c>
      <x:c r="I144" s="35" t="n">
        <x:v>3</x:v>
      </x:c>
      <x:c r="J144" s="35" t="str">
        <x:v>铜牌</x:v>
      </x:c>
      <x:c r="K144" s="35" t="str">
        <x:v>CHINA</x:v>
      </x:c>
      <x:c r="L144" s="35" t="str">
        <x:v>https://www.wbfmasterpoints.com/Medalsreport.asp</x:v>
      </x:c>
    </x:row>
    <x:row r="145">
      <x:c r="A145" s="16" t="str">
        <x:v>WBF-029</x:v>
      </x:c>
      <x:c r="B145" s="16" t="str">
        <x:v>Weimin Wang</x:v>
      </x:c>
      <x:c r="C145" s="16" t="str"/>
      <x:c r="D145" s="16" t="str">
        <x:v>未核实中文写法（最佳猜测及依据见专表）</x:v>
      </x:c>
      <x:c r="E145" s="16" t="str">
        <x:v>2014-10</x:v>
      </x:c>
      <x:c r="F145" s="16" t="str">
        <x:v>三亚，中国</x:v>
      </x:c>
      <x:c r="G145" s="16" t="str">
        <x:v>世界桥牌综合锦标赛</x:v>
      </x:c>
      <x:c r="H145" s="16" t="str">
        <x:v>Mixed Teams 混合团体</x:v>
      </x:c>
      <x:c r="I145" s="16" t="n">
        <x:v>3</x:v>
      </x:c>
      <x:c r="J145" s="16" t="str">
        <x:v>铜牌</x:v>
      </x:c>
      <x:c r="K145" s="16" t="str">
        <x:v>CHINA</x:v>
      </x:c>
      <x:c r="L145" s="16" t="str">
        <x:v>https://www.wbfmasterpoints.com/Medalsreport.asp</x:v>
      </x:c>
    </x:row>
    <x:row r="146">
      <x:c r="A146" s="35" t="str">
        <x:v>WBF-029</x:v>
      </x:c>
      <x:c r="B146" s="35" t="str">
        <x:v>Zejun Zhuang</x:v>
      </x:c>
      <x:c r="C146" s="35" t="str"/>
      <x:c r="D146" s="35" t="str">
        <x:v>未核实中文写法（最佳猜测及依据见专表）</x:v>
      </x:c>
      <x:c r="E146" s="35" t="str">
        <x:v>2014-10</x:v>
      </x:c>
      <x:c r="F146" s="35" t="str">
        <x:v>三亚，中国</x:v>
      </x:c>
      <x:c r="G146" s="35" t="str">
        <x:v>世界桥牌综合锦标赛</x:v>
      </x:c>
      <x:c r="H146" s="35" t="str">
        <x:v>Mixed Teams 混合团体</x:v>
      </x:c>
      <x:c r="I146" s="35" t="n">
        <x:v>3</x:v>
      </x:c>
      <x:c r="J146" s="35" t="str">
        <x:v>铜牌</x:v>
      </x:c>
      <x:c r="K146" s="35" t="str">
        <x:v>CHINA</x:v>
      </x:c>
      <x:c r="L146" s="35" t="str">
        <x:v>https://www.wbfmasterpoints.com/Medalsreport.asp</x:v>
      </x:c>
    </x:row>
    <x:row r="147">
      <x:c r="A147" s="16" t="str">
        <x:v>WBF-029</x:v>
      </x:c>
      <x:c r="B147" s="16" t="str">
        <x:v>Wen Fei Wang</x:v>
      </x:c>
      <x:c r="C147" s="16" t="str">
        <x:v>王文霏</x:v>
      </x:c>
      <x:c r="D147" s="16" t="str">
        <x:v>已由中文报道核对</x:v>
      </x:c>
      <x:c r="E147" s="16" t="str">
        <x:v>2014-10</x:v>
      </x:c>
      <x:c r="F147" s="16" t="str">
        <x:v>三亚，中国</x:v>
      </x:c>
      <x:c r="G147" s="16" t="str">
        <x:v>世界桥牌综合锦标赛</x:v>
      </x:c>
      <x:c r="H147" s="16" t="str">
        <x:v>Mixed Teams 混合团体</x:v>
      </x:c>
      <x:c r="I147" s="16" t="n">
        <x:v>3</x:v>
      </x:c>
      <x:c r="J147" s="16" t="str">
        <x:v>铜牌</x:v>
      </x:c>
      <x:c r="K147" s="16" t="str">
        <x:v>CHINA</x:v>
      </x:c>
      <x:c r="L147" s="16" t="str">
        <x:v>https://www.wbfmasterpoints.com/Medalsreport.asp</x:v>
      </x:c>
    </x:row>
    <x:row r="148">
      <x:c r="A148" s="35" t="str">
        <x:v>WBF-029</x:v>
      </x:c>
      <x:c r="B148" s="35" t="str">
        <x:v>Yi Qian Liu</x:v>
      </x:c>
      <x:c r="C148" s="35" t="str">
        <x:v>刘逸倩</x:v>
      </x:c>
      <x:c r="D148" s="35" t="str">
        <x:v>已由中文报道核对</x:v>
      </x:c>
      <x:c r="E148" s="35" t="str">
        <x:v>2014-10</x:v>
      </x:c>
      <x:c r="F148" s="35" t="str">
        <x:v>三亚，中国</x:v>
      </x:c>
      <x:c r="G148" s="35" t="str">
        <x:v>世界桥牌综合锦标赛</x:v>
      </x:c>
      <x:c r="H148" s="35" t="str">
        <x:v>Mixed Teams 混合团体</x:v>
      </x:c>
      <x:c r="I148" s="35" t="n">
        <x:v>3</x:v>
      </x:c>
      <x:c r="J148" s="35" t="str">
        <x:v>铜牌</x:v>
      </x:c>
      <x:c r="K148" s="35" t="str">
        <x:v>CHINA</x:v>
      </x:c>
      <x:c r="L148" s="35" t="str">
        <x:v>https://www.wbfmasterpoints.com/Medalsreport.asp</x:v>
      </x:c>
    </x:row>
    <x:row r="149">
      <x:c r="A149" s="16" t="str">
        <x:v>WBF-029</x:v>
      </x:c>
      <x:c r="B149" s="16" t="str">
        <x:v>Yong Mei Zhou</x:v>
      </x:c>
      <x:c r="C149" s="16" t="str"/>
      <x:c r="D149" s="16" t="str">
        <x:v>未核实中文写法（最佳猜测及依据见专表）</x:v>
      </x:c>
      <x:c r="E149" s="16" t="str">
        <x:v>2014-10</x:v>
      </x:c>
      <x:c r="F149" s="16" t="str">
        <x:v>三亚，中国</x:v>
      </x:c>
      <x:c r="G149" s="16" t="str">
        <x:v>世界桥牌综合锦标赛</x:v>
      </x:c>
      <x:c r="H149" s="16" t="str">
        <x:v>Mixed Teams 混合团体</x:v>
      </x:c>
      <x:c r="I149" s="16" t="n">
        <x:v>3</x:v>
      </x:c>
      <x:c r="J149" s="16" t="str">
        <x:v>铜牌</x:v>
      </x:c>
      <x:c r="K149" s="16" t="str">
        <x:v>CHINA</x:v>
      </x:c>
      <x:c r="L149" s="16" t="str">
        <x:v>https://www.wbfmasterpoints.com/Medalsreport.asp</x:v>
      </x:c>
    </x:row>
    <x:row r="150">
      <x:c r="A150" s="35" t="str">
        <x:v>WBF-030</x:v>
      </x:c>
      <x:c r="B150" s="35" t="str">
        <x:v>Tao Zhou</x:v>
      </x:c>
      <x:c r="C150" s="35" t="str"/>
      <x:c r="D150" s="35" t="str">
        <x:v>未核实中文写法（最佳猜测及依据见专表）</x:v>
      </x:c>
      <x:c r="E150" s="35" t="str">
        <x:v>2014-10</x:v>
      </x:c>
      <x:c r="F150" s="35" t="str">
        <x:v>三亚，中国</x:v>
      </x:c>
      <x:c r="G150" s="35" t="str">
        <x:v>世界桥牌综合锦标赛</x:v>
      </x:c>
      <x:c r="H150" s="35" t="str">
        <x:v>Women Pairs 女子双人</x:v>
      </x:c>
      <x:c r="I150" s="35" t="n">
        <x:v>1</x:v>
      </x:c>
      <x:c r="J150" s="35" t="str">
        <x:v>金牌</x:v>
      </x:c>
      <x:c r="K150" s="35" t="str">
        <x:v>Tao Zhou – Shu Liu</x:v>
      </x:c>
      <x:c r="L150" s="35" t="str">
        <x:v>https://www.wbfmasterpoints.com/Medalsreport.asp</x:v>
      </x:c>
    </x:row>
    <x:row r="151">
      <x:c r="A151" s="16" t="str">
        <x:v>WBF-030</x:v>
      </x:c>
      <x:c r="B151" s="16" t="str">
        <x:v>Shu Liu</x:v>
      </x:c>
      <x:c r="C151" s="16" t="str"/>
      <x:c r="D151" s="16" t="str">
        <x:v>未核实中文写法（最佳猜测及依据见专表）</x:v>
      </x:c>
      <x:c r="E151" s="16" t="str">
        <x:v>2014-10</x:v>
      </x:c>
      <x:c r="F151" s="16" t="str">
        <x:v>三亚，中国</x:v>
      </x:c>
      <x:c r="G151" s="16" t="str">
        <x:v>世界桥牌综合锦标赛</x:v>
      </x:c>
      <x:c r="H151" s="16" t="str">
        <x:v>Women Pairs 女子双人</x:v>
      </x:c>
      <x:c r="I151" s="16" t="n">
        <x:v>1</x:v>
      </x:c>
      <x:c r="J151" s="16" t="str">
        <x:v>金牌</x:v>
      </x:c>
      <x:c r="K151" s="16" t="str">
        <x:v>Tao Zhou – Shu Liu</x:v>
      </x:c>
      <x:c r="L151" s="16" t="str">
        <x:v>https://www.wbfmasterpoints.com/Medalsreport.asp</x:v>
      </x:c>
    </x:row>
    <x:row r="152">
      <x:c r="A152" s="35" t="str">
        <x:v>WBF-031</x:v>
      </x:c>
      <x:c r="B152" s="35" t="str">
        <x:v>Yan Huang</x:v>
      </x:c>
      <x:c r="C152" s="35" t="str"/>
      <x:c r="D152" s="35" t="str">
        <x:v>未核实中文写法（最佳猜测及依据见专表）</x:v>
      </x:c>
      <x:c r="E152" s="35" t="str">
        <x:v>2014-10</x:v>
      </x:c>
      <x:c r="F152" s="35" t="str">
        <x:v>三亚，中国</x:v>
      </x:c>
      <x:c r="G152" s="35" t="str">
        <x:v>世界桥牌综合锦标赛</x:v>
      </x:c>
      <x:c r="H152" s="35" t="str">
        <x:v>Women Pairs 女子双人</x:v>
      </x:c>
      <x:c r="I152" s="35" t="n">
        <x:v>2</x:v>
      </x:c>
      <x:c r="J152" s="35" t="str">
        <x:v>银牌</x:v>
      </x:c>
      <x:c r="K152" s="35" t="str">
        <x:v>Yan Huang – Ling Gan</x:v>
      </x:c>
      <x:c r="L152" s="35" t="str">
        <x:v>https://www.wbfmasterpoints.com/Medalsreport.asp</x:v>
      </x:c>
    </x:row>
    <x:row r="153">
      <x:c r="A153" s="16" t="str">
        <x:v>WBF-031</x:v>
      </x:c>
      <x:c r="B153" s="16" t="str">
        <x:v>Ling Gan</x:v>
      </x:c>
      <x:c r="C153" s="16" t="str"/>
      <x:c r="D153" s="16" t="str">
        <x:v>未核实中文写法（最佳猜测及依据见专表）</x:v>
      </x:c>
      <x:c r="E153" s="16" t="str">
        <x:v>2014-10</x:v>
      </x:c>
      <x:c r="F153" s="16" t="str">
        <x:v>三亚，中国</x:v>
      </x:c>
      <x:c r="G153" s="16" t="str">
        <x:v>世界桥牌综合锦标赛</x:v>
      </x:c>
      <x:c r="H153" s="16" t="str">
        <x:v>Women Pairs 女子双人</x:v>
      </x:c>
      <x:c r="I153" s="16" t="n">
        <x:v>2</x:v>
      </x:c>
      <x:c r="J153" s="16" t="str">
        <x:v>银牌</x:v>
      </x:c>
      <x:c r="K153" s="16" t="str">
        <x:v>Yan Huang – Ling Gan</x:v>
      </x:c>
      <x:c r="L153" s="16" t="str">
        <x:v>https://www.wbfmasterpoints.com/Medalsreport.asp</x:v>
      </x:c>
    </x:row>
    <x:row r="154">
      <x:c r="A154" s="35" t="str">
        <x:v>WBF-032</x:v>
      </x:c>
      <x:c r="B154" s="35" t="str">
        <x:v>Hongli Wang</x:v>
      </x:c>
      <x:c r="C154" s="35" t="str">
        <x:v>王宏利</x:v>
      </x:c>
      <x:c r="D154" s="35" t="str">
        <x:v>已由中文报道核对</x:v>
      </x:c>
      <x:c r="E154" s="35" t="str">
        <x:v>2014-10</x:v>
      </x:c>
      <x:c r="F154" s="35" t="str">
        <x:v>三亚，中国</x:v>
      </x:c>
      <x:c r="G154" s="35" t="str">
        <x:v>世界桥牌综合锦标赛</x:v>
      </x:c>
      <x:c r="H154" s="35" t="str">
        <x:v>Women Teams 女子团体</x:v>
      </x:c>
      <x:c r="I154" s="35" t="n">
        <x:v>2</x:v>
      </x:c>
      <x:c r="J154" s="35" t="str">
        <x:v>银牌</x:v>
      </x:c>
      <x:c r="K154" s="35" t="str">
        <x:v>CHINA</x:v>
      </x:c>
      <x:c r="L154" s="35" t="str">
        <x:v>https://www.wbfmasterpoints.com/Medalsreport.asp</x:v>
      </x:c>
    </x:row>
    <x:row r="155">
      <x:c r="A155" s="16" t="str">
        <x:v>WBF-032</x:v>
      </x:c>
      <x:c r="B155" s="16" t="str">
        <x:v>Wen Fei Wang</x:v>
      </x:c>
      <x:c r="C155" s="16" t="str">
        <x:v>王文霏</x:v>
      </x:c>
      <x:c r="D155" s="16" t="str">
        <x:v>已由中文报道核对</x:v>
      </x:c>
      <x:c r="E155" s="16" t="str">
        <x:v>2014-10</x:v>
      </x:c>
      <x:c r="F155" s="16" t="str">
        <x:v>三亚，中国</x:v>
      </x:c>
      <x:c r="G155" s="16" t="str">
        <x:v>世界桥牌综合锦标赛</x:v>
      </x:c>
      <x:c r="H155" s="16" t="str">
        <x:v>Women Teams 女子团体</x:v>
      </x:c>
      <x:c r="I155" s="16" t="n">
        <x:v>2</x:v>
      </x:c>
      <x:c r="J155" s="16" t="str">
        <x:v>银牌</x:v>
      </x:c>
      <x:c r="K155" s="16" t="str">
        <x:v>CHINA</x:v>
      </x:c>
      <x:c r="L155" s="16" t="str">
        <x:v>https://www.wbfmasterpoints.com/Medalsreport.asp</x:v>
      </x:c>
    </x:row>
    <x:row r="156">
      <x:c r="A156" s="35" t="str">
        <x:v>WBF-032</x:v>
      </x:c>
      <x:c r="B156" s="35" t="str">
        <x:v>Jing Rong Ran</x:v>
      </x:c>
      <x:c r="C156" s="35" t="str"/>
      <x:c r="D156" s="35" t="str">
        <x:v>未核实中文写法（最佳猜测及依据见专表）</x:v>
      </x:c>
      <x:c r="E156" s="35" t="str">
        <x:v>2014-10</x:v>
      </x:c>
      <x:c r="F156" s="35" t="str">
        <x:v>三亚，中国</x:v>
      </x:c>
      <x:c r="G156" s="35" t="str">
        <x:v>世界桥牌综合锦标赛</x:v>
      </x:c>
      <x:c r="H156" s="35" t="str">
        <x:v>Women Teams 女子团体</x:v>
      </x:c>
      <x:c r="I156" s="35" t="n">
        <x:v>2</x:v>
      </x:c>
      <x:c r="J156" s="35" t="str">
        <x:v>银牌</x:v>
      </x:c>
      <x:c r="K156" s="35" t="str">
        <x:v>CHINA</x:v>
      </x:c>
      <x:c r="L156" s="35" t="str">
        <x:v>https://www.wbfmasterpoints.com/Medalsreport.asp</x:v>
      </x:c>
    </x:row>
    <x:row r="157">
      <x:c r="A157" s="16" t="str">
        <x:v>WBF-032</x:v>
      </x:c>
      <x:c r="B157" s="16" t="str">
        <x:v>Yu Zhang</x:v>
      </x:c>
      <x:c r="C157" s="16" t="str"/>
      <x:c r="D157" s="16" t="str">
        <x:v>未核实中文写法（最佳猜测及依据见专表）</x:v>
      </x:c>
      <x:c r="E157" s="16" t="str">
        <x:v>2014-10</x:v>
      </x:c>
      <x:c r="F157" s="16" t="str">
        <x:v>三亚，中国</x:v>
      </x:c>
      <x:c r="G157" s="16" t="str">
        <x:v>世界桥牌综合锦标赛</x:v>
      </x:c>
      <x:c r="H157" s="16" t="str">
        <x:v>Women Teams 女子团体</x:v>
      </x:c>
      <x:c r="I157" s="16" t="n">
        <x:v>2</x:v>
      </x:c>
      <x:c r="J157" s="16" t="str">
        <x:v>银牌</x:v>
      </x:c>
      <x:c r="K157" s="16" t="str">
        <x:v>CHINA</x:v>
      </x:c>
      <x:c r="L157" s="16" t="str">
        <x:v>https://www.wbfmasterpoints.com/Medalsreport.asp</x:v>
      </x:c>
    </x:row>
    <x:row r="158">
      <x:c r="A158" s="35" t="str">
        <x:v>WBF-032</x:v>
      </x:c>
      <x:c r="B158" s="35" t="str">
        <x:v>Yan Lu</x:v>
      </x:c>
      <x:c r="C158" s="35" t="str">
        <x:v>卢燕</x:v>
      </x:c>
      <x:c r="D158" s="35" t="str">
        <x:v>已由中文报道核对</x:v>
      </x:c>
      <x:c r="E158" s="35" t="str">
        <x:v>2014-10</x:v>
      </x:c>
      <x:c r="F158" s="35" t="str">
        <x:v>三亚，中国</x:v>
      </x:c>
      <x:c r="G158" s="35" t="str">
        <x:v>世界桥牌综合锦标赛</x:v>
      </x:c>
      <x:c r="H158" s="35" t="str">
        <x:v>Women Teams 女子团体</x:v>
      </x:c>
      <x:c r="I158" s="35" t="n">
        <x:v>2</x:v>
      </x:c>
      <x:c r="J158" s="35" t="str">
        <x:v>银牌</x:v>
      </x:c>
      <x:c r="K158" s="35" t="str">
        <x:v>CHINA</x:v>
      </x:c>
      <x:c r="L158" s="35" t="str">
        <x:v>https://www.wbfmasterpoints.com/Medalsreport.asp</x:v>
      </x:c>
    </x:row>
    <x:row r="159">
      <x:c r="A159" s="16" t="str">
        <x:v>WBF-032</x:v>
      </x:c>
      <x:c r="B159" s="16" t="str">
        <x:v>Shaohong Wu</x:v>
      </x:c>
      <x:c r="C159" s="16" t="str"/>
      <x:c r="D159" s="16" t="str">
        <x:v>未核实中文写法（最佳猜测及依据见专表）</x:v>
      </x:c>
      <x:c r="E159" s="16" t="str">
        <x:v>2014-10</x:v>
      </x:c>
      <x:c r="F159" s="16" t="str">
        <x:v>三亚，中国</x:v>
      </x:c>
      <x:c r="G159" s="16" t="str">
        <x:v>世界桥牌综合锦标赛</x:v>
      </x:c>
      <x:c r="H159" s="16" t="str">
        <x:v>Women Teams 女子团体</x:v>
      </x:c>
      <x:c r="I159" s="16" t="n">
        <x:v>2</x:v>
      </x:c>
      <x:c r="J159" s="16" t="str">
        <x:v>银牌</x:v>
      </x:c>
      <x:c r="K159" s="16" t="str">
        <x:v>CHINA</x:v>
      </x:c>
      <x:c r="L159" s="16" t="str">
        <x:v>https://www.wbfmasterpoints.com/Medalsreport.asp</x:v>
      </x:c>
    </x:row>
    <x:row r="160">
      <x:c r="A160" s="35" t="str">
        <x:v>WBF-033</x:v>
      </x:c>
      <x:c r="B160" s="35" t="str">
        <x:v>Yalan Zhang</x:v>
      </x:c>
      <x:c r="C160" s="35" t="str"/>
      <x:c r="D160" s="35" t="str">
        <x:v>未核实中文写法（最佳猜测及依据见专表）</x:v>
      </x:c>
      <x:c r="E160" s="35" t="str">
        <x:v>2015</x:v>
      </x:c>
      <x:c r="F160" s="35" t="str">
        <x:v>金奈，印度</x:v>
      </x:c>
      <x:c r="G160" s="35" t="str">
        <x:v>世界桥牌团体锦标赛</x:v>
      </x:c>
      <x:c r="H160" s="35" t="str">
        <x:v>Transnational Open Teams 跨国公开团体</x:v>
      </x:c>
      <x:c r="I160" s="35" t="n">
        <x:v>3</x:v>
      </x:c>
      <x:c r="J160" s="35" t="str">
        <x:v>铜牌</x:v>
      </x:c>
      <x:c r="K160" s="35" t="str">
        <x:v>TRANSNATIONAL TEAM</x:v>
      </x:c>
      <x:c r="L160" s="35" t="str">
        <x:v>https://www.wbfmasterpoints.com/Medalsreport.asp</x:v>
      </x:c>
    </x:row>
    <x:row r="161">
      <x:c r="A161" s="16" t="str">
        <x:v>WBF-033</x:v>
      </x:c>
      <x:c r="B161" s="16" t="str">
        <x:v>Ping Wang</x:v>
      </x:c>
      <x:c r="C161" s="16" t="str"/>
      <x:c r="D161" s="16" t="str">
        <x:v>未核实中文写法（最佳猜测及依据见专表）</x:v>
      </x:c>
      <x:c r="E161" s="16" t="str">
        <x:v>2015</x:v>
      </x:c>
      <x:c r="F161" s="16" t="str">
        <x:v>金奈，印度</x:v>
      </x:c>
      <x:c r="G161" s="16" t="str">
        <x:v>世界桥牌团体锦标赛</x:v>
      </x:c>
      <x:c r="H161" s="16" t="str">
        <x:v>Transnational Open Teams 跨国公开团体</x:v>
      </x:c>
      <x:c r="I161" s="16" t="n">
        <x:v>3</x:v>
      </x:c>
      <x:c r="J161" s="16" t="str">
        <x:v>铜牌</x:v>
      </x:c>
      <x:c r="K161" s="16" t="str">
        <x:v>TRANSNATIONAL TEAM</x:v>
      </x:c>
      <x:c r="L161" s="16" t="str">
        <x:v>https://www.wbfmasterpoints.com/Medalsreport.asp</x:v>
      </x:c>
    </x:row>
    <x:row r="162">
      <x:c r="A162" s="35" t="str">
        <x:v>WBF-034</x:v>
      </x:c>
      <x:c r="B162" s="35" t="str">
        <x:v>Zhe Wu</x:v>
      </x:c>
      <x:c r="C162" s="35" t="str"/>
      <x:c r="D162" s="35" t="str">
        <x:v>未核实中文写法（最佳猜测及依据见专表）</x:v>
      </x:c>
      <x:c r="E162" s="35" t="str">
        <x:v>2015-08-20—2015-08-29</x:v>
      </x:c>
      <x:c r="F162" s="35" t="str">
        <x:v>奥帕蒂亚，克罗地亚</x:v>
      </x:c>
      <x:c r="G162" s="35" t="str">
        <x:v>第4届世界青年公开锦标赛</x:v>
      </x:c>
      <x:c r="H162" s="35" t="str">
        <x:v>U16 Pairs / Kids Pairs</x:v>
      </x:c>
      <x:c r="I162" s="35" t="n">
        <x:v>3</x:v>
      </x:c>
      <x:c r="J162" s="35" t="str">
        <x:v>铜牌</x:v>
      </x:c>
      <x:c r="K162" s="35" t="str">
        <x:v>Zhe Wu – Zhijie Yuan</x:v>
      </x:c>
      <x:c r="L162" s="35" t="str">
        <x:v>https://www.worldbridge.org/competitions/the-world-youth-transnational-bridge-championships/</x:v>
      </x:c>
    </x:row>
    <x:row r="163">
      <x:c r="A163" s="16" t="str">
        <x:v>WBF-034</x:v>
      </x:c>
      <x:c r="B163" s="16" t="str">
        <x:v>Zhijie Yuan</x:v>
      </x:c>
      <x:c r="C163" s="16" t="str"/>
      <x:c r="D163" s="16" t="str">
        <x:v>未核实中文写法（最佳猜测及依据见专表）</x:v>
      </x:c>
      <x:c r="E163" s="16" t="str">
        <x:v>2015-08-20—2015-08-29</x:v>
      </x:c>
      <x:c r="F163" s="16" t="str">
        <x:v>奥帕蒂亚，克罗地亚</x:v>
      </x:c>
      <x:c r="G163" s="16" t="str">
        <x:v>第4届世界青年公开锦标赛</x:v>
      </x:c>
      <x:c r="H163" s="16" t="str">
        <x:v>U16 Pairs / Kids Pairs</x:v>
      </x:c>
      <x:c r="I163" s="16" t="n">
        <x:v>3</x:v>
      </x:c>
      <x:c r="J163" s="16" t="str">
        <x:v>铜牌</x:v>
      </x:c>
      <x:c r="K163" s="16" t="str">
        <x:v>Zhe Wu – Zhijie Yuan</x:v>
      </x:c>
      <x:c r="L163" s="16" t="str">
        <x:v>https://www.worldbridge.org/competitions/the-world-youth-transnational-bridge-championships/</x:v>
      </x:c>
    </x:row>
    <x:row r="164">
      <x:c r="A164" s="35" t="str">
        <x:v>WBF-035</x:v>
      </x:c>
      <x:c r="B164" s="35" t="str">
        <x:v>Yingqi Wang</x:v>
      </x:c>
      <x:c r="C164" s="35" t="str"/>
      <x:c r="D164" s="35" t="str">
        <x:v>未核实中文写法（最佳猜测及依据见专表）</x:v>
      </x:c>
      <x:c r="E164" s="35" t="str">
        <x:v>2015-08-20—2015-08-29</x:v>
      </x:c>
      <x:c r="F164" s="35" t="str">
        <x:v>奥帕蒂亚，克罗地亚</x:v>
      </x:c>
      <x:c r="G164" s="35" t="str">
        <x:v>第4届世界青年公开锦标赛</x:v>
      </x:c>
      <x:c r="H164" s="35" t="str">
        <x:v>U16 Teams / Kids Teams</x:v>
      </x:c>
      <x:c r="I164" s="35" t="n">
        <x:v>1</x:v>
      </x:c>
      <x:c r="J164" s="35" t="str">
        <x:v>金牌</x:v>
      </x:c>
      <x:c r="K164" s="35" t="str">
        <x:v>SX HYSW</x:v>
      </x:c>
      <x:c r="L164" s="35" t="str">
        <x:v>https://www.worldbridge.org/competitions/the-world-youth-transnational-bridge-championships/</x:v>
      </x:c>
    </x:row>
    <x:row r="165">
      <x:c r="A165" s="16" t="str">
        <x:v>WBF-035</x:v>
      </x:c>
      <x:c r="B165" s="16" t="str">
        <x:v>Tianle Yao</x:v>
      </x:c>
      <x:c r="C165" s="16" t="str"/>
      <x:c r="D165" s="16" t="str">
        <x:v>未核实中文写法（最佳猜测及依据见专表）</x:v>
      </x:c>
      <x:c r="E165" s="16" t="str">
        <x:v>2015-08-20—2015-08-29</x:v>
      </x:c>
      <x:c r="F165" s="16" t="str">
        <x:v>奥帕蒂亚，克罗地亚</x:v>
      </x:c>
      <x:c r="G165" s="16" t="str">
        <x:v>第4届世界青年公开锦标赛</x:v>
      </x:c>
      <x:c r="H165" s="16" t="str">
        <x:v>U16 Teams / Kids Teams</x:v>
      </x:c>
      <x:c r="I165" s="16" t="n">
        <x:v>1</x:v>
      </x:c>
      <x:c r="J165" s="16" t="str">
        <x:v>金牌</x:v>
      </x:c>
      <x:c r="K165" s="16" t="str">
        <x:v>SX HYSW</x:v>
      </x:c>
      <x:c r="L165" s="16" t="str">
        <x:v>https://www.worldbridge.org/competitions/the-world-youth-transnational-bridge-championships/</x:v>
      </x:c>
    </x:row>
    <x:row r="166">
      <x:c r="A166" s="35" t="str">
        <x:v>WBF-035</x:v>
      </x:c>
      <x:c r="B166" s="35" t="str">
        <x:v>Siyuan Liu</x:v>
      </x:c>
      <x:c r="C166" s="35" t="str"/>
      <x:c r="D166" s="35" t="str">
        <x:v>未核实中文写法（最佳猜测及依据见专表）</x:v>
      </x:c>
      <x:c r="E166" s="35" t="str">
        <x:v>2015-08-20—2015-08-29</x:v>
      </x:c>
      <x:c r="F166" s="35" t="str">
        <x:v>奥帕蒂亚，克罗地亚</x:v>
      </x:c>
      <x:c r="G166" s="35" t="str">
        <x:v>第4届世界青年公开锦标赛</x:v>
      </x:c>
      <x:c r="H166" s="35" t="str">
        <x:v>U16 Teams / Kids Teams</x:v>
      </x:c>
      <x:c r="I166" s="35" t="n">
        <x:v>1</x:v>
      </x:c>
      <x:c r="J166" s="35" t="str">
        <x:v>金牌</x:v>
      </x:c>
      <x:c r="K166" s="35" t="str">
        <x:v>SX HYSW</x:v>
      </x:c>
      <x:c r="L166" s="35" t="str">
        <x:v>https://www.worldbridge.org/competitions/the-world-youth-transnational-bridge-championships/</x:v>
      </x:c>
    </x:row>
    <x:row r="167">
      <x:c r="A167" s="16" t="str">
        <x:v>WBF-035</x:v>
      </x:c>
      <x:c r="B167" s="16" t="str">
        <x:v>Renyu Li</x:v>
      </x:c>
      <x:c r="C167" s="16" t="str"/>
      <x:c r="D167" s="16" t="str">
        <x:v>未核实中文写法（最佳猜测及依据见专表）</x:v>
      </x:c>
      <x:c r="E167" s="16" t="str">
        <x:v>2015-08-20—2015-08-29</x:v>
      </x:c>
      <x:c r="F167" s="16" t="str">
        <x:v>奥帕蒂亚，克罗地亚</x:v>
      </x:c>
      <x:c r="G167" s="16" t="str">
        <x:v>第4届世界青年公开锦标赛</x:v>
      </x:c>
      <x:c r="H167" s="16" t="str">
        <x:v>U16 Teams / Kids Teams</x:v>
      </x:c>
      <x:c r="I167" s="16" t="n">
        <x:v>1</x:v>
      </x:c>
      <x:c r="J167" s="16" t="str">
        <x:v>金牌</x:v>
      </x:c>
      <x:c r="K167" s="16" t="str">
        <x:v>SX HYSW</x:v>
      </x:c>
      <x:c r="L167" s="16" t="str">
        <x:v>https://www.worldbridge.org/competitions/the-world-youth-transnational-bridge-championships/</x:v>
      </x:c>
    </x:row>
    <x:row r="168">
      <x:c r="A168" s="35" t="str">
        <x:v>WBF-035</x:v>
      </x:c>
      <x:c r="B168" s="35" t="str">
        <x:v>Yijun Shang</x:v>
      </x:c>
      <x:c r="C168" s="35" t="str"/>
      <x:c r="D168" s="35" t="str">
        <x:v>未核实中文写法（最佳猜测及依据见专表）</x:v>
      </x:c>
      <x:c r="E168" s="35" t="str">
        <x:v>2015-08-20—2015-08-29</x:v>
      </x:c>
      <x:c r="F168" s="35" t="str">
        <x:v>奥帕蒂亚，克罗地亚</x:v>
      </x:c>
      <x:c r="G168" s="35" t="str">
        <x:v>第4届世界青年公开锦标赛</x:v>
      </x:c>
      <x:c r="H168" s="35" t="str">
        <x:v>U16 Teams / Kids Teams</x:v>
      </x:c>
      <x:c r="I168" s="35" t="n">
        <x:v>1</x:v>
      </x:c>
      <x:c r="J168" s="35" t="str">
        <x:v>金牌</x:v>
      </x:c>
      <x:c r="K168" s="35" t="str">
        <x:v>SX HYSW</x:v>
      </x:c>
      <x:c r="L168" s="35" t="str">
        <x:v>https://www.worldbridge.org/competitions/the-world-youth-transnational-bridge-championships/</x:v>
      </x:c>
    </x:row>
    <x:row r="169">
      <x:c r="A169" s="16" t="str">
        <x:v>WBF-035</x:v>
      </x:c>
      <x:c r="B169" s="16" t="str">
        <x:v>Yiqin Shao</x:v>
      </x:c>
      <x:c r="C169" s="16" t="str"/>
      <x:c r="D169" s="16" t="str">
        <x:v>未核实中文写法（最佳猜测及依据见专表）</x:v>
      </x:c>
      <x:c r="E169" s="16" t="str">
        <x:v>2015-08-20—2015-08-29</x:v>
      </x:c>
      <x:c r="F169" s="16" t="str">
        <x:v>奥帕蒂亚，克罗地亚</x:v>
      </x:c>
      <x:c r="G169" s="16" t="str">
        <x:v>第4届世界青年公开锦标赛</x:v>
      </x:c>
      <x:c r="H169" s="16" t="str">
        <x:v>U16 Teams / Kids Teams</x:v>
      </x:c>
      <x:c r="I169" s="16" t="n">
        <x:v>1</x:v>
      </x:c>
      <x:c r="J169" s="16" t="str">
        <x:v>金牌</x:v>
      </x:c>
      <x:c r="K169" s="16" t="str">
        <x:v>SX HYSW</x:v>
      </x:c>
      <x:c r="L169" s="16" t="str">
        <x:v>https://www.worldbridge.org/competitions/the-world-youth-transnational-bridge-championships/</x:v>
      </x:c>
    </x:row>
    <x:row r="170">
      <x:c r="A170" s="35" t="str">
        <x:v>WBF-036</x:v>
      </x:c>
      <x:c r="B170" s="35" t="str">
        <x:v>Zixi Cai</x:v>
      </x:c>
      <x:c r="C170" s="35" t="str"/>
      <x:c r="D170" s="35" t="str">
        <x:v>未核实中文写法（最佳猜测及依据见专表）</x:v>
      </x:c>
      <x:c r="E170" s="35" t="str">
        <x:v>2015-08-20—2015-08-29</x:v>
      </x:c>
      <x:c r="F170" s="35" t="str">
        <x:v>奥帕蒂亚，克罗地亚</x:v>
      </x:c>
      <x:c r="G170" s="35" t="str">
        <x:v>第4届世界青年公开锦标赛</x:v>
      </x:c>
      <x:c r="H170" s="35" t="str">
        <x:v>U16 Teams / Kids Teams</x:v>
      </x:c>
      <x:c r="I170" s="35" t="n">
        <x:v>2</x:v>
      </x:c>
      <x:c r="J170" s="35" t="str">
        <x:v>银牌</x:v>
      </x:c>
      <x:c r="K170" s="35" t="str">
        <x:v>CHINA RDFZ1</x:v>
      </x:c>
      <x:c r="L170" s="35" t="str">
        <x:v>https://www.worldbridge.org/competitions/the-world-youth-transnational-bridge-championships/</x:v>
      </x:c>
    </x:row>
    <x:row r="171">
      <x:c r="A171" s="16" t="str">
        <x:v>WBF-036</x:v>
      </x:c>
      <x:c r="B171" s="16" t="str">
        <x:v>Yuanzhe Ding</x:v>
      </x:c>
      <x:c r="C171" s="16" t="str"/>
      <x:c r="D171" s="16" t="str">
        <x:v>未核实中文写法（最佳猜测及依据见专表）</x:v>
      </x:c>
      <x:c r="E171" s="16" t="str">
        <x:v>2015-08-20—2015-08-29</x:v>
      </x:c>
      <x:c r="F171" s="16" t="str">
        <x:v>奥帕蒂亚，克罗地亚</x:v>
      </x:c>
      <x:c r="G171" s="16" t="str">
        <x:v>第4届世界青年公开锦标赛</x:v>
      </x:c>
      <x:c r="H171" s="16" t="str">
        <x:v>U16 Teams / Kids Teams</x:v>
      </x:c>
      <x:c r="I171" s="16" t="n">
        <x:v>2</x:v>
      </x:c>
      <x:c r="J171" s="16" t="str">
        <x:v>银牌</x:v>
      </x:c>
      <x:c r="K171" s="16" t="str">
        <x:v>CHINA RDFZ1</x:v>
      </x:c>
      <x:c r="L171" s="16" t="str">
        <x:v>https://www.worldbridge.org/competitions/the-world-youth-transnational-bridge-championships/</x:v>
      </x:c>
    </x:row>
    <x:row r="172">
      <x:c r="A172" s="35" t="str">
        <x:v>WBF-036</x:v>
      </x:c>
      <x:c r="B172" s="35" t="str">
        <x:v>Randy Pan</x:v>
      </x:c>
      <x:c r="C172" s="35" t="str"/>
      <x:c r="D172" s="35" t="str">
        <x:v>未核实中文写法（最佳猜测及依据见专表）</x:v>
      </x:c>
      <x:c r="E172" s="35" t="str">
        <x:v>2015-08-20—2015-08-29</x:v>
      </x:c>
      <x:c r="F172" s="35" t="str">
        <x:v>奥帕蒂亚，克罗地亚</x:v>
      </x:c>
      <x:c r="G172" s="35" t="str">
        <x:v>第4届世界青年公开锦标赛</x:v>
      </x:c>
      <x:c r="H172" s="35" t="str">
        <x:v>U16 Teams / Kids Teams</x:v>
      </x:c>
      <x:c r="I172" s="35" t="n">
        <x:v>2</x:v>
      </x:c>
      <x:c r="J172" s="35" t="str">
        <x:v>银牌</x:v>
      </x:c>
      <x:c r="K172" s="35" t="str">
        <x:v>CHINA RDFZ1</x:v>
      </x:c>
      <x:c r="L172" s="35" t="str">
        <x:v>https://www.worldbridge.org/competitions/the-world-youth-transnational-bridge-championships/</x:v>
      </x:c>
    </x:row>
    <x:row r="173">
      <x:c r="A173" s="16" t="str">
        <x:v>WBF-036</x:v>
      </x:c>
      <x:c r="B173" s="16" t="str">
        <x:v>Baozhuo Jiang</x:v>
      </x:c>
      <x:c r="C173" s="16" t="str"/>
      <x:c r="D173" s="16" t="str">
        <x:v>未核实中文写法（最佳猜测及依据见专表）</x:v>
      </x:c>
      <x:c r="E173" s="16" t="str">
        <x:v>2015-08-20—2015-08-29</x:v>
      </x:c>
      <x:c r="F173" s="16" t="str">
        <x:v>奥帕蒂亚，克罗地亚</x:v>
      </x:c>
      <x:c r="G173" s="16" t="str">
        <x:v>第4届世界青年公开锦标赛</x:v>
      </x:c>
      <x:c r="H173" s="16" t="str">
        <x:v>U16 Teams / Kids Teams</x:v>
      </x:c>
      <x:c r="I173" s="16" t="n">
        <x:v>2</x:v>
      </x:c>
      <x:c r="J173" s="16" t="str">
        <x:v>银牌</x:v>
      </x:c>
      <x:c r="K173" s="16" t="str">
        <x:v>CHINA RDFZ1</x:v>
      </x:c>
      <x:c r="L173" s="16" t="str">
        <x:v>https://www.worldbridge.org/competitions/the-world-youth-transnational-bridge-championships/</x:v>
      </x:c>
    </x:row>
    <x:row r="174">
      <x:c r="A174" s="35" t="str">
        <x:v>WBF-036</x:v>
      </x:c>
      <x:c r="B174" s="35" t="str">
        <x:v>Shi Qiu</x:v>
      </x:c>
      <x:c r="C174" s="35" t="str"/>
      <x:c r="D174" s="35" t="str">
        <x:v>未核实中文写法（最佳猜测及依据见专表）</x:v>
      </x:c>
      <x:c r="E174" s="35" t="str">
        <x:v>2015-08-20—2015-08-29</x:v>
      </x:c>
      <x:c r="F174" s="35" t="str">
        <x:v>奥帕蒂亚，克罗地亚</x:v>
      </x:c>
      <x:c r="G174" s="35" t="str">
        <x:v>第4届世界青年公开锦标赛</x:v>
      </x:c>
      <x:c r="H174" s="35" t="str">
        <x:v>U16 Teams / Kids Teams</x:v>
      </x:c>
      <x:c r="I174" s="35" t="n">
        <x:v>2</x:v>
      </x:c>
      <x:c r="J174" s="35" t="str">
        <x:v>银牌</x:v>
      </x:c>
      <x:c r="K174" s="35" t="str">
        <x:v>CHINA RDFZ1</x:v>
      </x:c>
      <x:c r="L174" s="35" t="str">
        <x:v>https://www.worldbridge.org/competitions/the-world-youth-transnational-bridge-championships/</x:v>
      </x:c>
    </x:row>
    <x:row r="175">
      <x:c r="A175" s="16" t="str">
        <x:v>WBF-036</x:v>
      </x:c>
      <x:c r="B175" s="16" t="str">
        <x:v>Haoqing Yu</x:v>
      </x:c>
      <x:c r="C175" s="16" t="str"/>
      <x:c r="D175" s="16" t="str">
        <x:v>未核实中文写法（最佳猜测及依据见专表）</x:v>
      </x:c>
      <x:c r="E175" s="16" t="str">
        <x:v>2015-08-20—2015-08-29</x:v>
      </x:c>
      <x:c r="F175" s="16" t="str">
        <x:v>奥帕蒂亚，克罗地亚</x:v>
      </x:c>
      <x:c r="G175" s="16" t="str">
        <x:v>第4届世界青年公开锦标赛</x:v>
      </x:c>
      <x:c r="H175" s="16" t="str">
        <x:v>U16 Teams / Kids Teams</x:v>
      </x:c>
      <x:c r="I175" s="16" t="n">
        <x:v>2</x:v>
      </x:c>
      <x:c r="J175" s="16" t="str">
        <x:v>银牌</x:v>
      </x:c>
      <x:c r="K175" s="16" t="str">
        <x:v>CHINA RDFZ1</x:v>
      </x:c>
      <x:c r="L175" s="16" t="str">
        <x:v>https://www.worldbridge.org/competitions/the-world-youth-transnational-bridge-championships/</x:v>
      </x:c>
    </x:row>
    <x:row r="176">
      <x:c r="A176" s="35" t="str">
        <x:v>WBF-037</x:v>
      </x:c>
      <x:c r="B176" s="35" t="str">
        <x:v>Yihong Liu</x:v>
      </x:c>
      <x:c r="C176" s="35" t="str"/>
      <x:c r="D176" s="35" t="str">
        <x:v>未核实中文写法（最佳猜测及依据见专表）</x:v>
      </x:c>
      <x:c r="E176" s="35" t="str">
        <x:v>2015-08-20—2015-08-29</x:v>
      </x:c>
      <x:c r="F176" s="35" t="str">
        <x:v>奥帕蒂亚，克罗地亚</x:v>
      </x:c>
      <x:c r="G176" s="35" t="str">
        <x:v>第4届世界青年公开锦标赛</x:v>
      </x:c>
      <x:c r="H176" s="35" t="str">
        <x:v>U16 Teams / Kids Teams</x:v>
      </x:c>
      <x:c r="I176" s="35" t="n">
        <x:v>3</x:v>
      </x:c>
      <x:c r="J176" s="35" t="str">
        <x:v>铜牌</x:v>
      </x:c>
      <x:c r="K176" s="35" t="str">
        <x:v>SX XNWY</x:v>
      </x:c>
      <x:c r="L176" s="35" t="str">
        <x:v>https://www.worldbridge.org/competitions/the-world-youth-transnational-bridge-championships/</x:v>
      </x:c>
    </x:row>
    <x:row r="177">
      <x:c r="A177" s="16" t="str">
        <x:v>WBF-037</x:v>
      </x:c>
      <x:c r="B177" s="16" t="str">
        <x:v>Wenjie Xue</x:v>
      </x:c>
      <x:c r="C177" s="16" t="str"/>
      <x:c r="D177" s="16" t="str">
        <x:v>未核实中文写法（最佳猜测及依据见专表）</x:v>
      </x:c>
      <x:c r="E177" s="16" t="str">
        <x:v>2015-08-20—2015-08-29</x:v>
      </x:c>
      <x:c r="F177" s="16" t="str">
        <x:v>奥帕蒂亚，克罗地亚</x:v>
      </x:c>
      <x:c r="G177" s="16" t="str">
        <x:v>第4届世界青年公开锦标赛</x:v>
      </x:c>
      <x:c r="H177" s="16" t="str">
        <x:v>U16 Teams / Kids Teams</x:v>
      </x:c>
      <x:c r="I177" s="16" t="n">
        <x:v>3</x:v>
      </x:c>
      <x:c r="J177" s="16" t="str">
        <x:v>铜牌</x:v>
      </x:c>
      <x:c r="K177" s="16" t="str">
        <x:v>SX XNWY</x:v>
      </x:c>
      <x:c r="L177" s="16" t="str">
        <x:v>https://www.worldbridge.org/competitions/the-world-youth-transnational-bridge-championships/</x:v>
      </x:c>
    </x:row>
    <x:row r="178">
      <x:c r="A178" s="35" t="str">
        <x:v>WBF-037</x:v>
      </x:c>
      <x:c r="B178" s="35" t="str">
        <x:v>Ruizhe Wang</x:v>
      </x:c>
      <x:c r="C178" s="35" t="str"/>
      <x:c r="D178" s="35" t="str">
        <x:v>未核实中文写法（最佳猜测及依据见专表）</x:v>
      </x:c>
      <x:c r="E178" s="35" t="str">
        <x:v>2015-08-20—2015-08-29</x:v>
      </x:c>
      <x:c r="F178" s="35" t="str">
        <x:v>奥帕蒂亚，克罗地亚</x:v>
      </x:c>
      <x:c r="G178" s="35" t="str">
        <x:v>第4届世界青年公开锦标赛</x:v>
      </x:c>
      <x:c r="H178" s="35" t="str">
        <x:v>U16 Teams / Kids Teams</x:v>
      </x:c>
      <x:c r="I178" s="35" t="n">
        <x:v>3</x:v>
      </x:c>
      <x:c r="J178" s="35" t="str">
        <x:v>铜牌</x:v>
      </x:c>
      <x:c r="K178" s="35" t="str">
        <x:v>SX XNWY</x:v>
      </x:c>
      <x:c r="L178" s="35" t="str">
        <x:v>https://www.worldbridge.org/competitions/the-world-youth-transnational-bridge-championships/</x:v>
      </x:c>
    </x:row>
    <x:row r="179">
      <x:c r="A179" s="16" t="str">
        <x:v>WBF-037</x:v>
      </x:c>
      <x:c r="B179" s="16" t="str">
        <x:v>Hanyang Dai</x:v>
      </x:c>
      <x:c r="C179" s="16" t="str"/>
      <x:c r="D179" s="16" t="str">
        <x:v>未核实中文写法（最佳猜测及依据见专表）</x:v>
      </x:c>
      <x:c r="E179" s="16" t="str">
        <x:v>2015-08-20—2015-08-29</x:v>
      </x:c>
      <x:c r="F179" s="16" t="str">
        <x:v>奥帕蒂亚，克罗地亚</x:v>
      </x:c>
      <x:c r="G179" s="16" t="str">
        <x:v>第4届世界青年公开锦标赛</x:v>
      </x:c>
      <x:c r="H179" s="16" t="str">
        <x:v>U16 Teams / Kids Teams</x:v>
      </x:c>
      <x:c r="I179" s="16" t="n">
        <x:v>3</x:v>
      </x:c>
      <x:c r="J179" s="16" t="str">
        <x:v>铜牌</x:v>
      </x:c>
      <x:c r="K179" s="16" t="str">
        <x:v>SX XNWY</x:v>
      </x:c>
      <x:c r="L179" s="16" t="str">
        <x:v>https://www.worldbridge.org/competitions/the-world-youth-transnational-bridge-championships/</x:v>
      </x:c>
    </x:row>
    <x:row r="180">
      <x:c r="A180" s="35" t="str">
        <x:v>WBF-037</x:v>
      </x:c>
      <x:c r="B180" s="35" t="str">
        <x:v>Jiaxin Tong</x:v>
      </x:c>
      <x:c r="C180" s="35" t="str"/>
      <x:c r="D180" s="35" t="str">
        <x:v>未核实中文写法（最佳猜测及依据见专表）</x:v>
      </x:c>
      <x:c r="E180" s="35" t="str">
        <x:v>2015-08-20—2015-08-29</x:v>
      </x:c>
      <x:c r="F180" s="35" t="str">
        <x:v>奥帕蒂亚，克罗地亚</x:v>
      </x:c>
      <x:c r="G180" s="35" t="str">
        <x:v>第4届世界青年公开锦标赛</x:v>
      </x:c>
      <x:c r="H180" s="35" t="str">
        <x:v>U16 Teams / Kids Teams</x:v>
      </x:c>
      <x:c r="I180" s="35" t="n">
        <x:v>3</x:v>
      </x:c>
      <x:c r="J180" s="35" t="str">
        <x:v>铜牌</x:v>
      </x:c>
      <x:c r="K180" s="35" t="str">
        <x:v>SX XNWY</x:v>
      </x:c>
      <x:c r="L180" s="35" t="str">
        <x:v>https://www.worldbridge.org/competitions/the-world-youth-transnational-bridge-championships/</x:v>
      </x:c>
    </x:row>
    <x:row r="181">
      <x:c r="A181" s="16" t="str">
        <x:v>WBF-037</x:v>
      </x:c>
      <x:c r="B181" s="16" t="str">
        <x:v>Tiancheng Zhang</x:v>
      </x:c>
      <x:c r="C181" s="16" t="str"/>
      <x:c r="D181" s="16" t="str">
        <x:v>未核实中文写法（最佳猜测及依据见专表）</x:v>
      </x:c>
      <x:c r="E181" s="16" t="str">
        <x:v>2015-08-20—2015-08-29</x:v>
      </x:c>
      <x:c r="F181" s="16" t="str">
        <x:v>奥帕蒂亚，克罗地亚</x:v>
      </x:c>
      <x:c r="G181" s="16" t="str">
        <x:v>第4届世界青年公开锦标赛</x:v>
      </x:c>
      <x:c r="H181" s="16" t="str">
        <x:v>U16 Teams / Kids Teams</x:v>
      </x:c>
      <x:c r="I181" s="16" t="n">
        <x:v>3</x:v>
      </x:c>
      <x:c r="J181" s="16" t="str">
        <x:v>铜牌</x:v>
      </x:c>
      <x:c r="K181" s="16" t="str">
        <x:v>SX XNWY</x:v>
      </x:c>
      <x:c r="L181" s="16" t="str">
        <x:v>https://www.worldbridge.org/competitions/the-world-youth-transnational-bridge-championships/</x:v>
      </x:c>
    </x:row>
    <x:row r="182">
      <x:c r="A182" s="35" t="str">
        <x:v>WBF-038</x:v>
      </x:c>
      <x:c r="B182" s="35" t="str">
        <x:v>Hongji Wei</x:v>
      </x:c>
      <x:c r="C182" s="35" t="str"/>
      <x:c r="D182" s="35" t="str">
        <x:v>未核实中文写法（最佳猜测及依据见专表）</x:v>
      </x:c>
      <x:c r="E182" s="35" t="str">
        <x:v>2015-08-20—2015-08-29</x:v>
      </x:c>
      <x:c r="F182" s="35" t="str">
        <x:v>奥帕蒂亚，克罗地亚</x:v>
      </x:c>
      <x:c r="G182" s="35" t="str">
        <x:v>第4届世界青年公开锦标赛</x:v>
      </x:c>
      <x:c r="H182" s="35" t="str">
        <x:v>U21 Pairs</x:v>
      </x:c>
      <x:c r="I182" s="35" t="n">
        <x:v>1</x:v>
      </x:c>
      <x:c r="J182" s="35" t="str">
        <x:v>金牌</x:v>
      </x:c>
      <x:c r="K182" s="35" t="str">
        <x:v>Hongji Wei – Shiyu Sun</x:v>
      </x:c>
      <x:c r="L182" s="35" t="str">
        <x:v>https://www.worldbridge.org/competitions/the-world-youth-transnational-bridge-championships/</x:v>
      </x:c>
    </x:row>
    <x:row r="183">
      <x:c r="A183" s="16" t="str">
        <x:v>WBF-038</x:v>
      </x:c>
      <x:c r="B183" s="16" t="str">
        <x:v>Shiyu Sun</x:v>
      </x:c>
      <x:c r="C183" s="16" t="str"/>
      <x:c r="D183" s="16" t="str">
        <x:v>未核实中文写法（最佳猜测及依据见专表）</x:v>
      </x:c>
      <x:c r="E183" s="16" t="str">
        <x:v>2015-08-20—2015-08-29</x:v>
      </x:c>
      <x:c r="F183" s="16" t="str">
        <x:v>奥帕蒂亚，克罗地亚</x:v>
      </x:c>
      <x:c r="G183" s="16" t="str">
        <x:v>第4届世界青年公开锦标赛</x:v>
      </x:c>
      <x:c r="H183" s="16" t="str">
        <x:v>U21 Pairs</x:v>
      </x:c>
      <x:c r="I183" s="16" t="n">
        <x:v>1</x:v>
      </x:c>
      <x:c r="J183" s="16" t="str">
        <x:v>金牌</x:v>
      </x:c>
      <x:c r="K183" s="16" t="str">
        <x:v>Hongji Wei – Shiyu Sun</x:v>
      </x:c>
      <x:c r="L183" s="16" t="str">
        <x:v>https://www.worldbridge.org/competitions/the-world-youth-transnational-bridge-championships/</x:v>
      </x:c>
    </x:row>
    <x:row r="184">
      <x:c r="A184" s="35" t="str">
        <x:v>WBF-039</x:v>
      </x:c>
      <x:c r="B184" s="35" t="str">
        <x:v>Yichen Yin</x:v>
      </x:c>
      <x:c r="C184" s="35" t="str"/>
      <x:c r="D184" s="35" t="str">
        <x:v>未核实中文写法（最佳猜测及依据见专表）</x:v>
      </x:c>
      <x:c r="E184" s="35" t="str">
        <x:v>2015-08-20—2015-08-29</x:v>
      </x:c>
      <x:c r="F184" s="35" t="str">
        <x:v>奥帕蒂亚，克罗地亚</x:v>
      </x:c>
      <x:c r="G184" s="35" t="str">
        <x:v>第4届世界青年公开锦标赛</x:v>
      </x:c>
      <x:c r="H184" s="35" t="str">
        <x:v>U21 Pairs</x:v>
      </x:c>
      <x:c r="I184" s="35" t="n">
        <x:v>2</x:v>
      </x:c>
      <x:c r="J184" s="35" t="str">
        <x:v>银牌</x:v>
      </x:c>
      <x:c r="K184" s="35" t="str">
        <x:v>Yichen Yin – Zhengyang Fang</x:v>
      </x:c>
      <x:c r="L184" s="35" t="str">
        <x:v>https://www.worldbridge.org/competitions/the-world-youth-transnational-bridge-championships/</x:v>
      </x:c>
    </x:row>
    <x:row r="185">
      <x:c r="A185" s="16" t="str">
        <x:v>WBF-039</x:v>
      </x:c>
      <x:c r="B185" s="16" t="str">
        <x:v>Zhengyang Fang</x:v>
      </x:c>
      <x:c r="C185" s="16" t="str"/>
      <x:c r="D185" s="16" t="str">
        <x:v>未核实中文写法（最佳猜测及依据见专表）</x:v>
      </x:c>
      <x:c r="E185" s="16" t="str">
        <x:v>2015-08-20—2015-08-29</x:v>
      </x:c>
      <x:c r="F185" s="16" t="str">
        <x:v>奥帕蒂亚，克罗地亚</x:v>
      </x:c>
      <x:c r="G185" s="16" t="str">
        <x:v>第4届世界青年公开锦标赛</x:v>
      </x:c>
      <x:c r="H185" s="16" t="str">
        <x:v>U21 Pairs</x:v>
      </x:c>
      <x:c r="I185" s="16" t="n">
        <x:v>2</x:v>
      </x:c>
      <x:c r="J185" s="16" t="str">
        <x:v>银牌</x:v>
      </x:c>
      <x:c r="K185" s="16" t="str">
        <x:v>Yichen Yin – Zhengyang Fang</x:v>
      </x:c>
      <x:c r="L185" s="16" t="str">
        <x:v>https://www.worldbridge.org/competitions/the-world-youth-transnational-bridge-championships/</x:v>
      </x:c>
    </x:row>
    <x:row r="186">
      <x:c r="A186" s="35" t="str">
        <x:v>WBF-040</x:v>
      </x:c>
      <x:c r="B186" s="35" t="str">
        <x:v>Shiyu Sun</x:v>
      </x:c>
      <x:c r="C186" s="35" t="str"/>
      <x:c r="D186" s="35" t="str">
        <x:v>未核实中文写法（最佳猜测及依据见专表）</x:v>
      </x:c>
      <x:c r="E186" s="35" t="str">
        <x:v>2015-08-20—2015-08-29</x:v>
      </x:c>
      <x:c r="F186" s="35" t="str">
        <x:v>奥帕蒂亚，克罗地亚</x:v>
      </x:c>
      <x:c r="G186" s="35" t="str">
        <x:v>第4届世界青年公开锦标赛</x:v>
      </x:c>
      <x:c r="H186" s="35" t="str">
        <x:v>U21 Teams / Youngsters Teams</x:v>
      </x:c>
      <x:c r="I186" s="35" t="n">
        <x:v>1</x:v>
      </x:c>
      <x:c r="J186" s="35" t="str">
        <x:v>金牌</x:v>
      </x:c>
      <x:c r="K186" s="35" t="str">
        <x:v>CHINA</x:v>
      </x:c>
      <x:c r="L186" s="35" t="str">
        <x:v>https://db.worldbridge.org/repository/tourn/opatija.15/Microsite/Results.htm</x:v>
      </x:c>
    </x:row>
    <x:row r="187">
      <x:c r="A187" s="16" t="str">
        <x:v>WBF-040</x:v>
      </x:c>
      <x:c r="B187" s="16" t="str">
        <x:v>Zhengyang Fang</x:v>
      </x:c>
      <x:c r="C187" s="16" t="str"/>
      <x:c r="D187" s="16" t="str">
        <x:v>未核实中文写法（最佳猜测及依据见专表）</x:v>
      </x:c>
      <x:c r="E187" s="16" t="str">
        <x:v>2015-08-20—2015-08-29</x:v>
      </x:c>
      <x:c r="F187" s="16" t="str">
        <x:v>奥帕蒂亚，克罗地亚</x:v>
      </x:c>
      <x:c r="G187" s="16" t="str">
        <x:v>第4届世界青年公开锦标赛</x:v>
      </x:c>
      <x:c r="H187" s="16" t="str">
        <x:v>U21 Teams / Youngsters Teams</x:v>
      </x:c>
      <x:c r="I187" s="16" t="n">
        <x:v>1</x:v>
      </x:c>
      <x:c r="J187" s="16" t="str">
        <x:v>金牌</x:v>
      </x:c>
      <x:c r="K187" s="16" t="str">
        <x:v>CHINA</x:v>
      </x:c>
      <x:c r="L187" s="16" t="str">
        <x:v>https://db.worldbridge.org/repository/tourn/opatija.15/Microsite/Results.htm</x:v>
      </x:c>
    </x:row>
    <x:row r="188">
      <x:c r="A188" s="35" t="str">
        <x:v>WBF-040</x:v>
      </x:c>
      <x:c r="B188" s="35" t="str">
        <x:v>Zihan Wang</x:v>
      </x:c>
      <x:c r="C188" s="35" t="str"/>
      <x:c r="D188" s="35" t="str">
        <x:v>未核实中文写法（最佳猜测及依据见专表）</x:v>
      </x:c>
      <x:c r="E188" s="35" t="str">
        <x:v>2015-08-20—2015-08-29</x:v>
      </x:c>
      <x:c r="F188" s="35" t="str">
        <x:v>奥帕蒂亚，克罗地亚</x:v>
      </x:c>
      <x:c r="G188" s="35" t="str">
        <x:v>第4届世界青年公开锦标赛</x:v>
      </x:c>
      <x:c r="H188" s="35" t="str">
        <x:v>U21 Teams / Youngsters Teams</x:v>
      </x:c>
      <x:c r="I188" s="35" t="n">
        <x:v>1</x:v>
      </x:c>
      <x:c r="J188" s="35" t="str">
        <x:v>金牌</x:v>
      </x:c>
      <x:c r="K188" s="35" t="str">
        <x:v>CHINA</x:v>
      </x:c>
      <x:c r="L188" s="35" t="str">
        <x:v>https://db.worldbridge.org/repository/tourn/opatija.15/Microsite/Results.htm</x:v>
      </x:c>
    </x:row>
    <x:row r="189">
      <x:c r="A189" s="16" t="str">
        <x:v>WBF-040</x:v>
      </x:c>
      <x:c r="B189" s="16" t="str">
        <x:v>Dongke Fang</x:v>
      </x:c>
      <x:c r="C189" s="16" t="str"/>
      <x:c r="D189" s="16" t="str">
        <x:v>未核实中文写法（最佳猜测及依据见专表）</x:v>
      </x:c>
      <x:c r="E189" s="16" t="str">
        <x:v>2015-08-20—2015-08-29</x:v>
      </x:c>
      <x:c r="F189" s="16" t="str">
        <x:v>奥帕蒂亚，克罗地亚</x:v>
      </x:c>
      <x:c r="G189" s="16" t="str">
        <x:v>第4届世界青年公开锦标赛</x:v>
      </x:c>
      <x:c r="H189" s="16" t="str">
        <x:v>U21 Teams / Youngsters Teams</x:v>
      </x:c>
      <x:c r="I189" s="16" t="n">
        <x:v>1</x:v>
      </x:c>
      <x:c r="J189" s="16" t="str">
        <x:v>金牌</x:v>
      </x:c>
      <x:c r="K189" s="16" t="str">
        <x:v>CHINA</x:v>
      </x:c>
      <x:c r="L189" s="16" t="str">
        <x:v>https://db.worldbridge.org/repository/tourn/opatija.15/Microsite/Results.htm</x:v>
      </x:c>
    </x:row>
    <x:row r="190">
      <x:c r="A190" s="35" t="str">
        <x:v>WBF-040</x:v>
      </x:c>
      <x:c r="B190" s="35" t="str">
        <x:v>Yichen Yin</x:v>
      </x:c>
      <x:c r="C190" s="35" t="str"/>
      <x:c r="D190" s="35" t="str">
        <x:v>未核实中文写法（最佳猜测及依据见专表）</x:v>
      </x:c>
      <x:c r="E190" s="35" t="str">
        <x:v>2015-08-20—2015-08-29</x:v>
      </x:c>
      <x:c r="F190" s="35" t="str">
        <x:v>奥帕蒂亚，克罗地亚</x:v>
      </x:c>
      <x:c r="G190" s="35" t="str">
        <x:v>第4届世界青年公开锦标赛</x:v>
      </x:c>
      <x:c r="H190" s="35" t="str">
        <x:v>U21 Teams / Youngsters Teams</x:v>
      </x:c>
      <x:c r="I190" s="35" t="n">
        <x:v>1</x:v>
      </x:c>
      <x:c r="J190" s="35" t="str">
        <x:v>金牌</x:v>
      </x:c>
      <x:c r="K190" s="35" t="str">
        <x:v>CHINA</x:v>
      </x:c>
      <x:c r="L190" s="35" t="str">
        <x:v>https://db.worldbridge.org/repository/tourn/opatija.15/Microsite/Results.htm</x:v>
      </x:c>
    </x:row>
    <x:row r="191">
      <x:c r="A191" s="16" t="str">
        <x:v>WBF-040</x:v>
      </x:c>
      <x:c r="B191" s="16" t="str">
        <x:v>Hongji Wei</x:v>
      </x:c>
      <x:c r="C191" s="16" t="str"/>
      <x:c r="D191" s="16" t="str">
        <x:v>未核实中文写法（最佳猜测及依据见专表）</x:v>
      </x:c>
      <x:c r="E191" s="16" t="str">
        <x:v>2015-08-20—2015-08-29</x:v>
      </x:c>
      <x:c r="F191" s="16" t="str">
        <x:v>奥帕蒂亚，克罗地亚</x:v>
      </x:c>
      <x:c r="G191" s="16" t="str">
        <x:v>第4届世界青年公开锦标赛</x:v>
      </x:c>
      <x:c r="H191" s="16" t="str">
        <x:v>U21 Teams / Youngsters Teams</x:v>
      </x:c>
      <x:c r="I191" s="16" t="n">
        <x:v>1</x:v>
      </x:c>
      <x:c r="J191" s="16" t="str">
        <x:v>金牌</x:v>
      </x:c>
      <x:c r="K191" s="16" t="str">
        <x:v>CHINA</x:v>
      </x:c>
      <x:c r="L191" s="16" t="str">
        <x:v>https://db.worldbridge.org/repository/tourn/opatija.15/Microsite/Results.htm</x:v>
      </x:c>
    </x:row>
    <x:row r="192">
      <x:c r="A192" s="35" t="str">
        <x:v>WBF-041</x:v>
      </x:c>
      <x:c r="B192" s="35" t="str">
        <x:v>Yunpeng Chen</x:v>
      </x:c>
      <x:c r="C192" s="35" t="str"/>
      <x:c r="D192" s="35" t="str">
        <x:v>未核实中文写法（最佳猜测及依据见专表）</x:v>
      </x:c>
      <x:c r="E192" s="35" t="str">
        <x:v>2015-08-20—2015-08-29</x:v>
      </x:c>
      <x:c r="F192" s="35" t="str">
        <x:v>奥帕蒂亚，克罗地亚</x:v>
      </x:c>
      <x:c r="G192" s="35" t="str">
        <x:v>第4届世界青年公开锦标赛</x:v>
      </x:c>
      <x:c r="H192" s="35" t="str">
        <x:v>U26 Women Teams / Girls Teams</x:v>
      </x:c>
      <x:c r="I192" s="35" t="n">
        <x:v>2</x:v>
      </x:c>
      <x:c r="J192" s="35" t="str">
        <x:v>银牌</x:v>
      </x:c>
      <x:c r="K192" s="35" t="str">
        <x:v>SX XHLD</x:v>
      </x:c>
      <x:c r="L192" s="35" t="str">
        <x:v>https://db.worldbridge.org/Repository/tourn/Opatija.15/Microsite/Results.htm</x:v>
      </x:c>
    </x:row>
    <x:row r="193">
      <x:c r="A193" s="16" t="str">
        <x:v>WBF-041</x:v>
      </x:c>
      <x:c r="B193" s="16" t="str">
        <x:v>Chenyun Ge</x:v>
      </x:c>
      <x:c r="C193" s="16" t="str"/>
      <x:c r="D193" s="16" t="str">
        <x:v>未核实中文写法（最佳猜测及依据见专表）</x:v>
      </x:c>
      <x:c r="E193" s="16" t="str">
        <x:v>2015-08-20—2015-08-29</x:v>
      </x:c>
      <x:c r="F193" s="16" t="str">
        <x:v>奥帕蒂亚，克罗地亚</x:v>
      </x:c>
      <x:c r="G193" s="16" t="str">
        <x:v>第4届世界青年公开锦标赛</x:v>
      </x:c>
      <x:c r="H193" s="16" t="str">
        <x:v>U26 Women Teams / Girls Teams</x:v>
      </x:c>
      <x:c r="I193" s="16" t="n">
        <x:v>2</x:v>
      </x:c>
      <x:c r="J193" s="16" t="str">
        <x:v>银牌</x:v>
      </x:c>
      <x:c r="K193" s="16" t="str">
        <x:v>SX XHLD</x:v>
      </x:c>
      <x:c r="L193" s="16" t="str">
        <x:v>https://db.worldbridge.org/Repository/tourn/Opatija.15/Microsite/Results.htm</x:v>
      </x:c>
    </x:row>
    <x:row r="194">
      <x:c r="A194" s="35" t="str">
        <x:v>WBF-041</x:v>
      </x:c>
      <x:c r="B194" s="35" t="str">
        <x:v>Huiyuan Jin</x:v>
      </x:c>
      <x:c r="C194" s="35" t="str"/>
      <x:c r="D194" s="35" t="str">
        <x:v>未核实中文写法（最佳猜测及依据见专表）</x:v>
      </x:c>
      <x:c r="E194" s="35" t="str">
        <x:v>2015-08-20—2015-08-29</x:v>
      </x:c>
      <x:c r="F194" s="35" t="str">
        <x:v>奥帕蒂亚，克罗地亚</x:v>
      </x:c>
      <x:c r="G194" s="35" t="str">
        <x:v>第4届世界青年公开锦标赛</x:v>
      </x:c>
      <x:c r="H194" s="35" t="str">
        <x:v>U26 Women Teams / Girls Teams</x:v>
      </x:c>
      <x:c r="I194" s="35" t="n">
        <x:v>2</x:v>
      </x:c>
      <x:c r="J194" s="35" t="str">
        <x:v>银牌</x:v>
      </x:c>
      <x:c r="K194" s="35" t="str">
        <x:v>SX XHLD</x:v>
      </x:c>
      <x:c r="L194" s="35" t="str">
        <x:v>https://db.worldbridge.org/Repository/tourn/Opatija.15/Microsite/Results.htm</x:v>
      </x:c>
    </x:row>
    <x:row r="195">
      <x:c r="A195" s="16" t="str">
        <x:v>WBF-041</x:v>
      </x:c>
      <x:c r="B195" s="16" t="str">
        <x:v>Xinyao Ruan</x:v>
      </x:c>
      <x:c r="C195" s="16" t="str"/>
      <x:c r="D195" s="16" t="str">
        <x:v>未核实中文写法（最佳猜测及依据见专表）</x:v>
      </x:c>
      <x:c r="E195" s="16" t="str">
        <x:v>2015-08-20—2015-08-29</x:v>
      </x:c>
      <x:c r="F195" s="16" t="str">
        <x:v>奥帕蒂亚，克罗地亚</x:v>
      </x:c>
      <x:c r="G195" s="16" t="str">
        <x:v>第4届世界青年公开锦标赛</x:v>
      </x:c>
      <x:c r="H195" s="16" t="str">
        <x:v>U26 Women Teams / Girls Teams</x:v>
      </x:c>
      <x:c r="I195" s="16" t="n">
        <x:v>2</x:v>
      </x:c>
      <x:c r="J195" s="16" t="str">
        <x:v>银牌</x:v>
      </x:c>
      <x:c r="K195" s="16" t="str">
        <x:v>SX XHLD</x:v>
      </x:c>
      <x:c r="L195" s="16" t="str">
        <x:v>https://db.worldbridge.org/Repository/tourn/Opatija.15/Microsite/Results.htm</x:v>
      </x:c>
    </x:row>
    <x:row r="196">
      <x:c r="A196" s="35" t="str">
        <x:v>WBF-041</x:v>
      </x:c>
      <x:c r="B196" s="35" t="str">
        <x:v>Yue Yu</x:v>
      </x:c>
      <x:c r="C196" s="35" t="str"/>
      <x:c r="D196" s="35" t="str">
        <x:v>未核实中文写法（最佳猜测及依据见专表）</x:v>
      </x:c>
      <x:c r="E196" s="35" t="str">
        <x:v>2015-08-20—2015-08-29</x:v>
      </x:c>
      <x:c r="F196" s="35" t="str">
        <x:v>奥帕蒂亚，克罗地亚</x:v>
      </x:c>
      <x:c r="G196" s="35" t="str">
        <x:v>第4届世界青年公开锦标赛</x:v>
      </x:c>
      <x:c r="H196" s="35" t="str">
        <x:v>U26 Women Teams / Girls Teams</x:v>
      </x:c>
      <x:c r="I196" s="35" t="n">
        <x:v>2</x:v>
      </x:c>
      <x:c r="J196" s="35" t="str">
        <x:v>银牌</x:v>
      </x:c>
      <x:c r="K196" s="35" t="str">
        <x:v>SX XHLD</x:v>
      </x:c>
      <x:c r="L196" s="35" t="str">
        <x:v>https://db.worldbridge.org/Repository/tourn/Opatija.15/Microsite/Results.htm</x:v>
      </x:c>
    </x:row>
    <x:row r="197">
      <x:c r="A197" s="16" t="str">
        <x:v>WBF-041</x:v>
      </x:c>
      <x:c r="B197" s="16" t="str">
        <x:v>Aijia Yuan</x:v>
      </x:c>
      <x:c r="C197" s="16" t="str"/>
      <x:c r="D197" s="16" t="str">
        <x:v>未核实中文写法（最佳猜测及依据见专表）</x:v>
      </x:c>
      <x:c r="E197" s="16" t="str">
        <x:v>2015-08-20—2015-08-29</x:v>
      </x:c>
      <x:c r="F197" s="16" t="str">
        <x:v>奥帕蒂亚，克罗地亚</x:v>
      </x:c>
      <x:c r="G197" s="16" t="str">
        <x:v>第4届世界青年公开锦标赛</x:v>
      </x:c>
      <x:c r="H197" s="16" t="str">
        <x:v>U26 Women Teams / Girls Teams</x:v>
      </x:c>
      <x:c r="I197" s="16" t="n">
        <x:v>2</x:v>
      </x:c>
      <x:c r="J197" s="16" t="str">
        <x:v>银牌</x:v>
      </x:c>
      <x:c r="K197" s="16" t="str">
        <x:v>SX XHLD</x:v>
      </x:c>
      <x:c r="L197" s="16" t="str">
        <x:v>https://db.worldbridge.org/Repository/tourn/Opatija.15/Microsite/Results.htm</x:v>
      </x:c>
    </x:row>
    <x:row r="198">
      <x:c r="A198" s="35" t="str">
        <x:v>WBF-042</x:v>
      </x:c>
      <x:c r="B198" s="35" t="str">
        <x:v>Guangli Wendy Liu</x:v>
      </x:c>
      <x:c r="C198" s="35" t="str"/>
      <x:c r="D198" s="35" t="str">
        <x:v>未核实中文写法（最佳猜测及依据见专表）</x:v>
      </x:c>
      <x:c r="E198" s="35" t="str">
        <x:v>2015-08-20—2015-08-29</x:v>
      </x:c>
      <x:c r="F198" s="35" t="str">
        <x:v>奥帕蒂亚，克罗地亚</x:v>
      </x:c>
      <x:c r="G198" s="35" t="str">
        <x:v>第4届世界青年公开锦标赛</x:v>
      </x:c>
      <x:c r="H198" s="35" t="str">
        <x:v>U26 Women Teams / Girls Teams</x:v>
      </x:c>
      <x:c r="I198" s="35" t="n">
        <x:v>3</x:v>
      </x:c>
      <x:c r="J198" s="35" t="str">
        <x:v>铜牌</x:v>
      </x:c>
      <x:c r="K198" s="35" t="str">
        <x:v>CHINA RDFZ GIRLS</x:v>
      </x:c>
      <x:c r="L198" s="35" t="str">
        <x:v>https://db.worldbridge.org/Repository/tourn/Opatija.15/Microsite/Results.htm</x:v>
      </x:c>
    </x:row>
    <x:row r="199">
      <x:c r="A199" s="16" t="str">
        <x:v>WBF-042</x:v>
      </x:c>
      <x:c r="B199" s="16" t="str">
        <x:v>Xinyi Luo</x:v>
      </x:c>
      <x:c r="C199" s="16" t="str"/>
      <x:c r="D199" s="16" t="str">
        <x:v>未核实中文写法（最佳猜测及依据见专表）</x:v>
      </x:c>
      <x:c r="E199" s="16" t="str">
        <x:v>2015-08-20—2015-08-29</x:v>
      </x:c>
      <x:c r="F199" s="16" t="str">
        <x:v>奥帕蒂亚，克罗地亚</x:v>
      </x:c>
      <x:c r="G199" s="16" t="str">
        <x:v>第4届世界青年公开锦标赛</x:v>
      </x:c>
      <x:c r="H199" s="16" t="str">
        <x:v>U26 Women Teams / Girls Teams</x:v>
      </x:c>
      <x:c r="I199" s="16" t="n">
        <x:v>3</x:v>
      </x:c>
      <x:c r="J199" s="16" t="str">
        <x:v>铜牌</x:v>
      </x:c>
      <x:c r="K199" s="16" t="str">
        <x:v>CHINA RDFZ GIRLS</x:v>
      </x:c>
      <x:c r="L199" s="16" t="str">
        <x:v>https://db.worldbridge.org/Repository/tourn/Opatija.15/Microsite/Results.htm</x:v>
      </x:c>
    </x:row>
    <x:row r="200">
      <x:c r="A200" s="35" t="str">
        <x:v>WBF-042</x:v>
      </x:c>
      <x:c r="B200" s="35" t="str">
        <x:v>Lingyi Ma</x:v>
      </x:c>
      <x:c r="C200" s="35" t="str"/>
      <x:c r="D200" s="35" t="str">
        <x:v>未核实中文写法（最佳猜测及依据见专表）</x:v>
      </x:c>
      <x:c r="E200" s="35" t="str">
        <x:v>2015-08-20—2015-08-29</x:v>
      </x:c>
      <x:c r="F200" s="35" t="str">
        <x:v>奥帕蒂亚，克罗地亚</x:v>
      </x:c>
      <x:c r="G200" s="35" t="str">
        <x:v>第4届世界青年公开锦标赛</x:v>
      </x:c>
      <x:c r="H200" s="35" t="str">
        <x:v>U26 Women Teams / Girls Teams</x:v>
      </x:c>
      <x:c r="I200" s="35" t="n">
        <x:v>3</x:v>
      </x:c>
      <x:c r="J200" s="35" t="str">
        <x:v>铜牌</x:v>
      </x:c>
      <x:c r="K200" s="35" t="str">
        <x:v>CHINA RDFZ GIRLS</x:v>
      </x:c>
      <x:c r="L200" s="35" t="str">
        <x:v>https://db.worldbridge.org/Repository/tourn/Opatija.15/Microsite/Results.htm</x:v>
      </x:c>
    </x:row>
    <x:row r="201">
      <x:c r="A201" s="16" t="str">
        <x:v>WBF-042</x:v>
      </x:c>
      <x:c r="B201" s="16" t="str">
        <x:v>Mengqi Hao</x:v>
      </x:c>
      <x:c r="C201" s="16" t="str"/>
      <x:c r="D201" s="16" t="str">
        <x:v>未核实中文写法（最佳猜测及依据见专表）</x:v>
      </x:c>
      <x:c r="E201" s="16" t="str">
        <x:v>2015-08-20—2015-08-29</x:v>
      </x:c>
      <x:c r="F201" s="16" t="str">
        <x:v>奥帕蒂亚，克罗地亚</x:v>
      </x:c>
      <x:c r="G201" s="16" t="str">
        <x:v>第4届世界青年公开锦标赛</x:v>
      </x:c>
      <x:c r="H201" s="16" t="str">
        <x:v>U26 Women Teams / Girls Teams</x:v>
      </x:c>
      <x:c r="I201" s="16" t="n">
        <x:v>3</x:v>
      </x:c>
      <x:c r="J201" s="16" t="str">
        <x:v>铜牌</x:v>
      </x:c>
      <x:c r="K201" s="16" t="str">
        <x:v>CHINA RDFZ GIRLS</x:v>
      </x:c>
      <x:c r="L201" s="16" t="str">
        <x:v>https://db.worldbridge.org/Repository/tourn/Opatija.15/Microsite/Results.htm</x:v>
      </x:c>
    </x:row>
    <x:row r="202">
      <x:c r="A202" s="35" t="str">
        <x:v>WBF-042</x:v>
      </x:c>
      <x:c r="B202" s="35" t="str">
        <x:v>Ling Hu</x:v>
      </x:c>
      <x:c r="C202" s="35" t="str"/>
      <x:c r="D202" s="35" t="str">
        <x:v>未核实中文写法（最佳猜测及依据见专表）</x:v>
      </x:c>
      <x:c r="E202" s="35" t="str">
        <x:v>2015-08-20—2015-08-29</x:v>
      </x:c>
      <x:c r="F202" s="35" t="str">
        <x:v>奥帕蒂亚，克罗地亚</x:v>
      </x:c>
      <x:c r="G202" s="35" t="str">
        <x:v>第4届世界青年公开锦标赛</x:v>
      </x:c>
      <x:c r="H202" s="35" t="str">
        <x:v>U26 Women Teams / Girls Teams</x:v>
      </x:c>
      <x:c r="I202" s="35" t="n">
        <x:v>3</x:v>
      </x:c>
      <x:c r="J202" s="35" t="str">
        <x:v>铜牌</x:v>
      </x:c>
      <x:c r="K202" s="35" t="str">
        <x:v>CHINA RDFZ GIRLS</x:v>
      </x:c>
      <x:c r="L202" s="35" t="str">
        <x:v>https://db.worldbridge.org/Repository/tourn/Opatija.15/Microsite/Results.htm</x:v>
      </x:c>
    </x:row>
    <x:row r="203">
      <x:c r="A203" s="16" t="str">
        <x:v>WBF-042</x:v>
      </x:c>
      <x:c r="B203" s="16" t="str">
        <x:v>Qi Xia</x:v>
      </x:c>
      <x:c r="C203" s="16" t="str"/>
      <x:c r="D203" s="16" t="str">
        <x:v>未核实中文写法（最佳猜测及依据见专表）</x:v>
      </x:c>
      <x:c r="E203" s="16" t="str">
        <x:v>2015-08-20—2015-08-29</x:v>
      </x:c>
      <x:c r="F203" s="16" t="str">
        <x:v>奥帕蒂亚，克罗地亚</x:v>
      </x:c>
      <x:c r="G203" s="16" t="str">
        <x:v>第4届世界青年公开锦标赛</x:v>
      </x:c>
      <x:c r="H203" s="16" t="str">
        <x:v>U26 Women Teams / Girls Teams</x:v>
      </x:c>
      <x:c r="I203" s="16" t="n">
        <x:v>3</x:v>
      </x:c>
      <x:c r="J203" s="16" t="str">
        <x:v>铜牌</x:v>
      </x:c>
      <x:c r="K203" s="16" t="str">
        <x:v>CHINA RDFZ GIRLS</x:v>
      </x:c>
      <x:c r="L203" s="16" t="str">
        <x:v>https://db.worldbridge.org/Repository/tourn/Opatija.15/Microsite/Results.htm</x:v>
      </x:c>
    </x:row>
    <x:row r="204">
      <x:c r="A204" s="35" t="str">
        <x:v>WBF-043</x:v>
      </x:c>
      <x:c r="B204" s="35" t="str">
        <x:v>Ling Gu</x:v>
      </x:c>
      <x:c r="C204" s="35" t="str"/>
      <x:c r="D204" s="35" t="str">
        <x:v>未核实中文写法（最佳猜测及依据见专表）</x:v>
      </x:c>
      <x:c r="E204" s="35" t="str">
        <x:v>2016</x:v>
      </x:c>
      <x:c r="F204" s="35" t="str">
        <x:v>弗罗茨瓦夫，波兰</x:v>
      </x:c>
      <x:c r="G204" s="35" t="str">
        <x:v>世界桥牌运动会</x:v>
      </x:c>
      <x:c r="H204" s="35" t="str">
        <x:v>World National Women Pairs 女子国家双人</x:v>
      </x:c>
      <x:c r="I204" s="35" t="n">
        <x:v>3</x:v>
      </x:c>
      <x:c r="J204" s="35" t="str">
        <x:v>铜牌</x:v>
      </x:c>
      <x:c r="K204" s="35" t="str">
        <x:v>Ling Gu – Tao Zhou</x:v>
      </x:c>
      <x:c r="L204" s="35" t="str">
        <x:v>https://www.wbfmasterpoints.com/Medalsreport.asp</x:v>
      </x:c>
    </x:row>
    <x:row r="205">
      <x:c r="A205" s="16" t="str">
        <x:v>WBF-043</x:v>
      </x:c>
      <x:c r="B205" s="16" t="str">
        <x:v>Tao Zhou</x:v>
      </x:c>
      <x:c r="C205" s="16" t="str"/>
      <x:c r="D205" s="16" t="str">
        <x:v>未核实中文写法（最佳猜测及依据见专表）</x:v>
      </x:c>
      <x:c r="E205" s="16" t="str">
        <x:v>2016</x:v>
      </x:c>
      <x:c r="F205" s="16" t="str">
        <x:v>弗罗茨瓦夫，波兰</x:v>
      </x:c>
      <x:c r="G205" s="16" t="str">
        <x:v>世界桥牌运动会</x:v>
      </x:c>
      <x:c r="H205" s="16" t="str">
        <x:v>World National Women Pairs 女子国家双人</x:v>
      </x:c>
      <x:c r="I205" s="16" t="n">
        <x:v>3</x:v>
      </x:c>
      <x:c r="J205" s="16" t="str">
        <x:v>铜牌</x:v>
      </x:c>
      <x:c r="K205" s="16" t="str">
        <x:v>Ling Gu – Tao Zhou</x:v>
      </x:c>
      <x:c r="L205" s="16" t="str">
        <x:v>https://www.wbfmasterpoints.com/Medalsreport.asp</x:v>
      </x:c>
    </x:row>
    <x:row r="206">
      <x:c r="A206" s="35" t="str">
        <x:v>WBF-044</x:v>
      </x:c>
      <x:c r="B206" s="35" t="str">
        <x:v>Qi Shen</x:v>
      </x:c>
      <x:c r="C206" s="35" t="str">
        <x:v>沈琦</x:v>
      </x:c>
      <x:c r="D206" s="35" t="str">
        <x:v>已由中文报道核对</x:v>
      </x:c>
      <x:c r="E206" s="35" t="str">
        <x:v>2016</x:v>
      </x:c>
      <x:c r="F206" s="35" t="str">
        <x:v>弗罗茨瓦夫，波兰</x:v>
      </x:c>
      <x:c r="G206" s="35" t="str">
        <x:v>世界桥牌运动会</x:v>
      </x:c>
      <x:c r="H206" s="35" t="str">
        <x:v>World National Women Teams 女子国家团体</x:v>
      </x:c>
      <x:c r="I206" s="35" t="n">
        <x:v>3</x:v>
      </x:c>
      <x:c r="J206" s="35" t="str">
        <x:v>铜牌</x:v>
      </x:c>
      <x:c r="K206" s="35" t="str">
        <x:v>CHINA</x:v>
      </x:c>
      <x:c r="L206" s="35" t="str">
        <x:v>https://www.wbfmasterpoints.com/Medalsreport.asp</x:v>
      </x:c>
    </x:row>
    <x:row r="207">
      <x:c r="A207" s="16" t="str">
        <x:v>WBF-044</x:v>
      </x:c>
      <x:c r="B207" s="16" t="str">
        <x:v>Yan Huang</x:v>
      </x:c>
      <x:c r="C207" s="16" t="str"/>
      <x:c r="D207" s="16" t="str">
        <x:v>未核实中文写法（最佳猜测及依据见专表）</x:v>
      </x:c>
      <x:c r="E207" s="16" t="str">
        <x:v>2016</x:v>
      </x:c>
      <x:c r="F207" s="16" t="str">
        <x:v>弗罗茨瓦夫，波兰</x:v>
      </x:c>
      <x:c r="G207" s="16" t="str">
        <x:v>世界桥牌运动会</x:v>
      </x:c>
      <x:c r="H207" s="16" t="str">
        <x:v>World National Women Teams 女子国家团体</x:v>
      </x:c>
      <x:c r="I207" s="16" t="n">
        <x:v>3</x:v>
      </x:c>
      <x:c r="J207" s="16" t="str">
        <x:v>铜牌</x:v>
      </x:c>
      <x:c r="K207" s="16" t="str">
        <x:v>CHINA</x:v>
      </x:c>
      <x:c r="L207" s="16" t="str">
        <x:v>https://www.wbfmasterpoints.com/Medalsreport.asp</x:v>
      </x:c>
    </x:row>
    <x:row r="208">
      <x:c r="A208" s="35" t="str">
        <x:v>WBF-044</x:v>
      </x:c>
      <x:c r="B208" s="35" t="str">
        <x:v>Yan Lu</x:v>
      </x:c>
      <x:c r="C208" s="35" t="str">
        <x:v>卢燕</x:v>
      </x:c>
      <x:c r="D208" s="35" t="str">
        <x:v>已由中文报道核对</x:v>
      </x:c>
      <x:c r="E208" s="35" t="str">
        <x:v>2016</x:v>
      </x:c>
      <x:c r="F208" s="35" t="str">
        <x:v>弗罗茨瓦夫，波兰</x:v>
      </x:c>
      <x:c r="G208" s="35" t="str">
        <x:v>世界桥牌运动会</x:v>
      </x:c>
      <x:c r="H208" s="35" t="str">
        <x:v>World National Women Teams 女子国家团体</x:v>
      </x:c>
      <x:c r="I208" s="35" t="n">
        <x:v>3</x:v>
      </x:c>
      <x:c r="J208" s="35" t="str">
        <x:v>铜牌</x:v>
      </x:c>
      <x:c r="K208" s="35" t="str">
        <x:v>CHINA</x:v>
      </x:c>
      <x:c r="L208" s="35" t="str">
        <x:v>https://www.wbfmasterpoints.com/Medalsreport.asp</x:v>
      </x:c>
    </x:row>
    <x:row r="209">
      <x:c r="A209" s="16" t="str">
        <x:v>WBF-044</x:v>
      </x:c>
      <x:c r="B209" s="16" t="str">
        <x:v>Wen Fei Wang</x:v>
      </x:c>
      <x:c r="C209" s="16" t="str">
        <x:v>王文霏</x:v>
      </x:c>
      <x:c r="D209" s="16" t="str">
        <x:v>已由中文报道核对</x:v>
      </x:c>
      <x:c r="E209" s="16" t="str">
        <x:v>2016</x:v>
      </x:c>
      <x:c r="F209" s="16" t="str">
        <x:v>弗罗茨瓦夫，波兰</x:v>
      </x:c>
      <x:c r="G209" s="16" t="str">
        <x:v>世界桥牌运动会</x:v>
      </x:c>
      <x:c r="H209" s="16" t="str">
        <x:v>World National Women Teams 女子国家团体</x:v>
      </x:c>
      <x:c r="I209" s="16" t="n">
        <x:v>3</x:v>
      </x:c>
      <x:c r="J209" s="16" t="str">
        <x:v>铜牌</x:v>
      </x:c>
      <x:c r="K209" s="16" t="str">
        <x:v>CHINA</x:v>
      </x:c>
      <x:c r="L209" s="16" t="str">
        <x:v>https://www.wbfmasterpoints.com/Medalsreport.asp</x:v>
      </x:c>
    </x:row>
    <x:row r="210">
      <x:c r="A210" s="35" t="str">
        <x:v>WBF-044</x:v>
      </x:c>
      <x:c r="B210" s="35" t="str">
        <x:v>Nan Wang</x:v>
      </x:c>
      <x:c r="C210" s="35" t="str">
        <x:v>王南</x:v>
      </x:c>
      <x:c r="D210" s="35" t="str">
        <x:v>已由中文报道核对</x:v>
      </x:c>
      <x:c r="E210" s="35" t="str">
        <x:v>2016</x:v>
      </x:c>
      <x:c r="F210" s="35" t="str">
        <x:v>弗罗茨瓦夫，波兰</x:v>
      </x:c>
      <x:c r="G210" s="35" t="str">
        <x:v>世界桥牌运动会</x:v>
      </x:c>
      <x:c r="H210" s="35" t="str">
        <x:v>World National Women Teams 女子国家团体</x:v>
      </x:c>
      <x:c r="I210" s="35" t="n">
        <x:v>3</x:v>
      </x:c>
      <x:c r="J210" s="35" t="str">
        <x:v>铜牌</x:v>
      </x:c>
      <x:c r="K210" s="35" t="str">
        <x:v>CHINA</x:v>
      </x:c>
      <x:c r="L210" s="35" t="str">
        <x:v>https://www.wbfmasterpoints.com/Medalsreport.asp</x:v>
      </x:c>
    </x:row>
    <x:row r="211">
      <x:c r="A211" s="16" t="str">
        <x:v>WBF-044</x:v>
      </x:c>
      <x:c r="B211" s="16" t="str">
        <x:v>Yan Liu</x:v>
      </x:c>
      <x:c r="C211" s="16" t="str">
        <x:v>刘艳</x:v>
      </x:c>
      <x:c r="D211" s="16" t="str">
        <x:v>已由中文报道核对</x:v>
      </x:c>
      <x:c r="E211" s="16" t="str">
        <x:v>2016</x:v>
      </x:c>
      <x:c r="F211" s="16" t="str">
        <x:v>弗罗茨瓦夫，波兰</x:v>
      </x:c>
      <x:c r="G211" s="16" t="str">
        <x:v>世界桥牌运动会</x:v>
      </x:c>
      <x:c r="H211" s="16" t="str">
        <x:v>World National Women Teams 女子国家团体</x:v>
      </x:c>
      <x:c r="I211" s="16" t="n">
        <x:v>3</x:v>
      </x:c>
      <x:c r="J211" s="16" t="str">
        <x:v>铜牌</x:v>
      </x:c>
      <x:c r="K211" s="16" t="str">
        <x:v>CHINA</x:v>
      </x:c>
      <x:c r="L211" s="16" t="str">
        <x:v>https://www.wbfmasterpoints.com/Medalsreport.asp</x:v>
      </x:c>
    </x:row>
    <x:row r="212">
      <x:c r="A212" s="35" t="str">
        <x:v>WBF-045</x:v>
      </x:c>
      <x:c r="B212" s="35" t="str">
        <x:v>Cheng Deng</x:v>
      </x:c>
      <x:c r="C212" s="35" t="str"/>
      <x:c r="D212" s="35" t="str">
        <x:v>未核实中文写法（最佳猜测及依据见专表）</x:v>
      </x:c>
      <x:c r="E212" s="35" t="str">
        <x:v>2016-08-03—2016-08-13</x:v>
      </x:c>
      <x:c r="F212" s="35" t="str">
        <x:v>萨尔索马焦雷，意大利</x:v>
      </x:c>
      <x:c r="G212" s="35" t="str">
        <x:v>世界青年团体锦标赛</x:v>
      </x:c>
      <x:c r="H212" s="35" t="str">
        <x:v>U16 Teams</x:v>
      </x:c>
      <x:c r="I212" s="35" t="n">
        <x:v>2</x:v>
      </x:c>
      <x:c r="J212" s="35" t="str">
        <x:v>银牌</x:v>
      </x:c>
      <x:c r="K212" s="35" t="str">
        <x:v>CHINA2</x:v>
      </x:c>
      <x:c r="L212" s="35" t="str">
        <x:v>https://www.worldbridge.org/competitions/the-world-youth-team-championships/</x:v>
      </x:c>
    </x:row>
    <x:row r="213">
      <x:c r="A213" s="16" t="str">
        <x:v>WBF-045</x:v>
      </x:c>
      <x:c r="B213" s="16" t="str">
        <x:v>Yizhou Liu</x:v>
      </x:c>
      <x:c r="C213" s="16" t="str"/>
      <x:c r="D213" s="16" t="str">
        <x:v>未核实中文写法（最佳猜测及依据见专表）</x:v>
      </x:c>
      <x:c r="E213" s="16" t="str">
        <x:v>2016-08-03—2016-08-13</x:v>
      </x:c>
      <x:c r="F213" s="16" t="str">
        <x:v>萨尔索马焦雷，意大利</x:v>
      </x:c>
      <x:c r="G213" s="16" t="str">
        <x:v>世界青年团体锦标赛</x:v>
      </x:c>
      <x:c r="H213" s="16" t="str">
        <x:v>U16 Teams</x:v>
      </x:c>
      <x:c r="I213" s="16" t="n">
        <x:v>2</x:v>
      </x:c>
      <x:c r="J213" s="16" t="str">
        <x:v>银牌</x:v>
      </x:c>
      <x:c r="K213" s="16" t="str">
        <x:v>CHINA2</x:v>
      </x:c>
      <x:c r="L213" s="16" t="str">
        <x:v>https://www.worldbridge.org/competitions/the-world-youth-team-championships/</x:v>
      </x:c>
    </x:row>
    <x:row r="214">
      <x:c r="A214" s="35" t="str">
        <x:v>WBF-045</x:v>
      </x:c>
      <x:c r="B214" s="35" t="str">
        <x:v>Yunpeng Chen</x:v>
      </x:c>
      <x:c r="C214" s="35" t="str"/>
      <x:c r="D214" s="35" t="str">
        <x:v>未核实中文写法（最佳猜测及依据见专表）</x:v>
      </x:c>
      <x:c r="E214" s="35" t="str">
        <x:v>2016-08-03—2016-08-13</x:v>
      </x:c>
      <x:c r="F214" s="35" t="str">
        <x:v>萨尔索马焦雷，意大利</x:v>
      </x:c>
      <x:c r="G214" s="35" t="str">
        <x:v>世界青年团体锦标赛</x:v>
      </x:c>
      <x:c r="H214" s="35" t="str">
        <x:v>U16 Teams</x:v>
      </x:c>
      <x:c r="I214" s="35" t="n">
        <x:v>2</x:v>
      </x:c>
      <x:c r="J214" s="35" t="str">
        <x:v>银牌</x:v>
      </x:c>
      <x:c r="K214" s="35" t="str">
        <x:v>CHINA2</x:v>
      </x:c>
      <x:c r="L214" s="35" t="str">
        <x:v>https://www.worldbridge.org/competitions/the-world-youth-team-championships/</x:v>
      </x:c>
    </x:row>
    <x:row r="215">
      <x:c r="A215" s="16" t="str">
        <x:v>WBF-045</x:v>
      </x:c>
      <x:c r="B215" s="16" t="str">
        <x:v>Xinyao Ruan</x:v>
      </x:c>
      <x:c r="C215" s="16" t="str"/>
      <x:c r="D215" s="16" t="str">
        <x:v>未核实中文写法（最佳猜测及依据见专表）</x:v>
      </x:c>
      <x:c r="E215" s="16" t="str">
        <x:v>2016-08-03—2016-08-13</x:v>
      </x:c>
      <x:c r="F215" s="16" t="str">
        <x:v>萨尔索马焦雷，意大利</x:v>
      </x:c>
      <x:c r="G215" s="16" t="str">
        <x:v>世界青年团体锦标赛</x:v>
      </x:c>
      <x:c r="H215" s="16" t="str">
        <x:v>U16 Teams</x:v>
      </x:c>
      <x:c r="I215" s="16" t="n">
        <x:v>2</x:v>
      </x:c>
      <x:c r="J215" s="16" t="str">
        <x:v>银牌</x:v>
      </x:c>
      <x:c r="K215" s="16" t="str">
        <x:v>CHINA2</x:v>
      </x:c>
      <x:c r="L215" s="16" t="str">
        <x:v>https://www.worldbridge.org/competitions/the-world-youth-team-championships/</x:v>
      </x:c>
    </x:row>
    <x:row r="216">
      <x:c r="A216" s="35" t="str">
        <x:v>WBF-045</x:v>
      </x:c>
      <x:c r="B216" s="35" t="str">
        <x:v>Penghao Wang</x:v>
      </x:c>
      <x:c r="C216" s="35" t="str"/>
      <x:c r="D216" s="35" t="str">
        <x:v>未核实中文写法（最佳猜测及依据见专表）</x:v>
      </x:c>
      <x:c r="E216" s="35" t="str">
        <x:v>2016-08-03—2016-08-13</x:v>
      </x:c>
      <x:c r="F216" s="35" t="str">
        <x:v>萨尔索马焦雷，意大利</x:v>
      </x:c>
      <x:c r="G216" s="35" t="str">
        <x:v>世界青年团体锦标赛</x:v>
      </x:c>
      <x:c r="H216" s="35" t="str">
        <x:v>U16 Teams</x:v>
      </x:c>
      <x:c r="I216" s="35" t="n">
        <x:v>2</x:v>
      </x:c>
      <x:c r="J216" s="35" t="str">
        <x:v>银牌</x:v>
      </x:c>
      <x:c r="K216" s="35" t="str">
        <x:v>CHINA2</x:v>
      </x:c>
      <x:c r="L216" s="35" t="str">
        <x:v>https://www.worldbridge.org/competitions/the-world-youth-team-championships/</x:v>
      </x:c>
    </x:row>
    <x:row r="217">
      <x:c r="A217" s="16" t="str">
        <x:v>WBF-045</x:v>
      </x:c>
      <x:c r="B217" s="16" t="str">
        <x:v>Ruizhe Wang</x:v>
      </x:c>
      <x:c r="C217" s="16" t="str"/>
      <x:c r="D217" s="16" t="str">
        <x:v>未核实中文写法（最佳猜测及依据见专表）</x:v>
      </x:c>
      <x:c r="E217" s="16" t="str">
        <x:v>2016-08-03—2016-08-13</x:v>
      </x:c>
      <x:c r="F217" s="16" t="str">
        <x:v>萨尔索马焦雷，意大利</x:v>
      </x:c>
      <x:c r="G217" s="16" t="str">
        <x:v>世界青年团体锦标赛</x:v>
      </x:c>
      <x:c r="H217" s="16" t="str">
        <x:v>U16 Teams</x:v>
      </x:c>
      <x:c r="I217" s="16" t="n">
        <x:v>2</x:v>
      </x:c>
      <x:c r="J217" s="16" t="str">
        <x:v>银牌</x:v>
      </x:c>
      <x:c r="K217" s="16" t="str">
        <x:v>CHINA2</x:v>
      </x:c>
      <x:c r="L217" s="16" t="str">
        <x:v>https://www.worldbridge.org/competitions/the-world-youth-team-championships/</x:v>
      </x:c>
    </x:row>
    <x:row r="218">
      <x:c r="A218" s="35" t="str">
        <x:v>WBF-046</x:v>
      </x:c>
      <x:c r="B218" s="35" t="str">
        <x:v>Yanfeng Chen</x:v>
      </x:c>
      <x:c r="C218" s="35" t="str"/>
      <x:c r="D218" s="35" t="str">
        <x:v>未核实中文写法（最佳猜测及依据见专表）</x:v>
      </x:c>
      <x:c r="E218" s="35" t="str">
        <x:v>2016-08-03—2016-08-13</x:v>
      </x:c>
      <x:c r="F218" s="35" t="str">
        <x:v>萨尔索马焦雷，意大利</x:v>
      </x:c>
      <x:c r="G218" s="35" t="str">
        <x:v>世界青年团体锦标赛</x:v>
      </x:c>
      <x:c r="H218" s="35" t="str">
        <x:v>U26 Teams</x:v>
      </x:c>
      <x:c r="I218" s="35" t="n">
        <x:v>2</x:v>
      </x:c>
      <x:c r="J218" s="35" t="str">
        <x:v>银牌</x:v>
      </x:c>
      <x:c r="K218" s="35" t="str">
        <x:v>CHINA</x:v>
      </x:c>
      <x:c r="L218" s="35" t="str">
        <x:v>https://www.worldbridge.org/competitions/the-world-youth-team-championships/</x:v>
      </x:c>
    </x:row>
    <x:row r="219">
      <x:c r="A219" s="16" t="str">
        <x:v>WBF-046</x:v>
      </x:c>
      <x:c r="B219" s="16" t="str">
        <x:v>Sili Liu</x:v>
      </x:c>
      <x:c r="C219" s="16" t="str"/>
      <x:c r="D219" s="16" t="str">
        <x:v>未核实中文写法（最佳猜测及依据见专表）</x:v>
      </x:c>
      <x:c r="E219" s="16" t="str">
        <x:v>2016-08-03—2016-08-13</x:v>
      </x:c>
      <x:c r="F219" s="16" t="str">
        <x:v>萨尔索马焦雷，意大利</x:v>
      </x:c>
      <x:c r="G219" s="16" t="str">
        <x:v>世界青年团体锦标赛</x:v>
      </x:c>
      <x:c r="H219" s="16" t="str">
        <x:v>U26 Teams</x:v>
      </x:c>
      <x:c r="I219" s="16" t="n">
        <x:v>2</x:v>
      </x:c>
      <x:c r="J219" s="16" t="str">
        <x:v>银牌</x:v>
      </x:c>
      <x:c r="K219" s="16" t="str">
        <x:v>CHINA</x:v>
      </x:c>
      <x:c r="L219" s="16" t="str">
        <x:v>https://www.worldbridge.org/competitions/the-world-youth-team-championships/</x:v>
      </x:c>
    </x:row>
    <x:row r="220">
      <x:c r="A220" s="35" t="str">
        <x:v>WBF-046</x:v>
      </x:c>
      <x:c r="B220" s="35" t="str">
        <x:v>Shiyu Sun</x:v>
      </x:c>
      <x:c r="C220" s="35" t="str"/>
      <x:c r="D220" s="35" t="str">
        <x:v>未核实中文写法（最佳猜测及依据见专表）</x:v>
      </x:c>
      <x:c r="E220" s="35" t="str">
        <x:v>2016-08-03—2016-08-13</x:v>
      </x:c>
      <x:c r="F220" s="35" t="str">
        <x:v>萨尔索马焦雷，意大利</x:v>
      </x:c>
      <x:c r="G220" s="35" t="str">
        <x:v>世界青年团体锦标赛</x:v>
      </x:c>
      <x:c r="H220" s="35" t="str">
        <x:v>U26 Teams</x:v>
      </x:c>
      <x:c r="I220" s="35" t="n">
        <x:v>2</x:v>
      </x:c>
      <x:c r="J220" s="35" t="str">
        <x:v>银牌</x:v>
      </x:c>
      <x:c r="K220" s="35" t="str">
        <x:v>CHINA</x:v>
      </x:c>
      <x:c r="L220" s="35" t="str">
        <x:v>https://www.worldbridge.org/competitions/the-world-youth-team-championships/</x:v>
      </x:c>
    </x:row>
    <x:row r="221">
      <x:c r="A221" s="16" t="str">
        <x:v>WBF-046</x:v>
      </x:c>
      <x:c r="B221" s="16" t="str">
        <x:v>Zhi Tang</x:v>
      </x:c>
      <x:c r="C221" s="16" t="str"/>
      <x:c r="D221" s="16" t="str">
        <x:v>未核实中文写法（最佳猜测及依据见专表）</x:v>
      </x:c>
      <x:c r="E221" s="16" t="str">
        <x:v>2016-08-03—2016-08-13</x:v>
      </x:c>
      <x:c r="F221" s="16" t="str">
        <x:v>萨尔索马焦雷，意大利</x:v>
      </x:c>
      <x:c r="G221" s="16" t="str">
        <x:v>世界青年团体锦标赛</x:v>
      </x:c>
      <x:c r="H221" s="16" t="str">
        <x:v>U26 Teams</x:v>
      </x:c>
      <x:c r="I221" s="16" t="n">
        <x:v>2</x:v>
      </x:c>
      <x:c r="J221" s="16" t="str">
        <x:v>银牌</x:v>
      </x:c>
      <x:c r="K221" s="16" t="str">
        <x:v>CHINA</x:v>
      </x:c>
      <x:c r="L221" s="16" t="str">
        <x:v>https://www.worldbridge.org/competitions/the-world-youth-team-championships/</x:v>
      </x:c>
    </x:row>
    <x:row r="222">
      <x:c r="A222" s="35" t="str">
        <x:v>WBF-046</x:v>
      </x:c>
      <x:c r="B222" s="35" t="str">
        <x:v>Yong Tao</x:v>
      </x:c>
      <x:c r="C222" s="35" t="str"/>
      <x:c r="D222" s="35" t="str">
        <x:v>未核实中文写法（最佳猜测及依据见专表）</x:v>
      </x:c>
      <x:c r="E222" s="35" t="str">
        <x:v>2016-08-03—2016-08-13</x:v>
      </x:c>
      <x:c r="F222" s="35" t="str">
        <x:v>萨尔索马焦雷，意大利</x:v>
      </x:c>
      <x:c r="G222" s="35" t="str">
        <x:v>世界青年团体锦标赛</x:v>
      </x:c>
      <x:c r="H222" s="35" t="str">
        <x:v>U26 Teams</x:v>
      </x:c>
      <x:c r="I222" s="35" t="n">
        <x:v>2</x:v>
      </x:c>
      <x:c r="J222" s="35" t="str">
        <x:v>银牌</x:v>
      </x:c>
      <x:c r="K222" s="35" t="str">
        <x:v>CHINA</x:v>
      </x:c>
      <x:c r="L222" s="35" t="str">
        <x:v>https://www.worldbridge.org/competitions/the-world-youth-team-championships/</x:v>
      </x:c>
    </x:row>
    <x:row r="223">
      <x:c r="A223" s="16" t="str">
        <x:v>WBF-046</x:v>
      </x:c>
      <x:c r="B223" s="16" t="str">
        <x:v>Hongji Wei</x:v>
      </x:c>
      <x:c r="C223" s="16" t="str"/>
      <x:c r="D223" s="16" t="str">
        <x:v>未核实中文写法（最佳猜测及依据见专表）</x:v>
      </x:c>
      <x:c r="E223" s="16" t="str">
        <x:v>2016-08-03—2016-08-13</x:v>
      </x:c>
      <x:c r="F223" s="16" t="str">
        <x:v>萨尔索马焦雷，意大利</x:v>
      </x:c>
      <x:c r="G223" s="16" t="str">
        <x:v>世界青年团体锦标赛</x:v>
      </x:c>
      <x:c r="H223" s="16" t="str">
        <x:v>U26 Teams</x:v>
      </x:c>
      <x:c r="I223" s="16" t="n">
        <x:v>2</x:v>
      </x:c>
      <x:c r="J223" s="16" t="str">
        <x:v>银牌</x:v>
      </x:c>
      <x:c r="K223" s="16" t="str">
        <x:v>CHINA</x:v>
      </x:c>
      <x:c r="L223" s="16" t="str">
        <x:v>https://www.worldbridge.org/competitions/the-world-youth-team-championships/</x:v>
      </x:c>
    </x:row>
    <x:row r="224">
      <x:c r="A224" s="35" t="str">
        <x:v>WBF-047</x:v>
      </x:c>
      <x:c r="B224" s="35" t="str">
        <x:v>Chuan Cheng Ju</x:v>
      </x:c>
      <x:c r="C224" s="35" t="str"/>
      <x:c r="D224" s="35" t="str">
        <x:v>未核实中文写法（最佳猜测及依据见专表）</x:v>
      </x:c>
      <x:c r="E224" s="35" t="str">
        <x:v>2017</x:v>
      </x:c>
      <x:c r="F224" s="35" t="str">
        <x:v>里昂，法国</x:v>
      </x:c>
      <x:c r="G224" s="35" t="str">
        <x:v>世界桥牌团体锦标赛</x:v>
      </x:c>
      <x:c r="H224" s="35" t="str">
        <x:v>Transnational Open Teams 跨国公开团体</x:v>
      </x:c>
      <x:c r="I224" s="35" t="n">
        <x:v>2</x:v>
      </x:c>
      <x:c r="J224" s="35" t="str">
        <x:v>银牌</x:v>
      </x:c>
      <x:c r="K224" s="35" t="str">
        <x:v>TRANSNATIONAL TEAM</x:v>
      </x:c>
      <x:c r="L224" s="35" t="str">
        <x:v>https://www.wbfmasterpoints.com/Medalsreport.asp</x:v>
      </x:c>
    </x:row>
    <x:row r="225">
      <x:c r="A225" s="16" t="str">
        <x:v>WBF-047</x:v>
      </x:c>
      <x:c r="B225" s="16" t="str">
        <x:v>Zhengjun Shi</x:v>
      </x:c>
      <x:c r="C225" s="16" t="str"/>
      <x:c r="D225" s="16" t="str">
        <x:v>未核实中文写法（最佳猜测及依据见专表）</x:v>
      </x:c>
      <x:c r="E225" s="16" t="str">
        <x:v>2017</x:v>
      </x:c>
      <x:c r="F225" s="16" t="str">
        <x:v>里昂，法国</x:v>
      </x:c>
      <x:c r="G225" s="16" t="str">
        <x:v>世界桥牌团体锦标赛</x:v>
      </x:c>
      <x:c r="H225" s="16" t="str">
        <x:v>Transnational Open Teams 跨国公开团体</x:v>
      </x:c>
      <x:c r="I225" s="16" t="n">
        <x:v>2</x:v>
      </x:c>
      <x:c r="J225" s="16" t="str">
        <x:v>银牌</x:v>
      </x:c>
      <x:c r="K225" s="16" t="str">
        <x:v>TRANSNATIONAL TEAM</x:v>
      </x:c>
      <x:c r="L225" s="16" t="str">
        <x:v>https://www.wbfmasterpoints.com/Medalsreport.asp</x:v>
      </x:c>
    </x:row>
    <x:row r="226">
      <x:c r="A226" s="35" t="str">
        <x:v>WBF-047</x:v>
      </x:c>
      <x:c r="B226" s="35" t="str">
        <x:v>Tong Jiang</x:v>
      </x:c>
      <x:c r="C226" s="35" t="str"/>
      <x:c r="D226" s="35" t="str">
        <x:v>未核实中文写法（最佳猜测及依据见专表）</x:v>
      </x:c>
      <x:c r="E226" s="35" t="str">
        <x:v>2017</x:v>
      </x:c>
      <x:c r="F226" s="35" t="str">
        <x:v>里昂，法国</x:v>
      </x:c>
      <x:c r="G226" s="35" t="str">
        <x:v>世界桥牌团体锦标赛</x:v>
      </x:c>
      <x:c r="H226" s="35" t="str">
        <x:v>Transnational Open Teams 跨国公开团体</x:v>
      </x:c>
      <x:c r="I226" s="35" t="n">
        <x:v>2</x:v>
      </x:c>
      <x:c r="J226" s="35" t="str">
        <x:v>银牌</x:v>
      </x:c>
      <x:c r="K226" s="35" t="str">
        <x:v>TRANSNATIONAL TEAM</x:v>
      </x:c>
      <x:c r="L226" s="35" t="str">
        <x:v>https://www.wbfmasterpoints.com/Medalsreport.asp</x:v>
      </x:c>
    </x:row>
    <x:row r="227">
      <x:c r="A227" s="16" t="str">
        <x:v>WBF-047</x:v>
      </x:c>
      <x:c r="B227" s="16" t="str">
        <x:v>Xiaofeng Zhang</x:v>
      </x:c>
      <x:c r="C227" s="16" t="str"/>
      <x:c r="D227" s="16" t="str">
        <x:v>未核实中文写法（最佳猜测及依据见专表）</x:v>
      </x:c>
      <x:c r="E227" s="16" t="str">
        <x:v>2017</x:v>
      </x:c>
      <x:c r="F227" s="16" t="str">
        <x:v>里昂，法国</x:v>
      </x:c>
      <x:c r="G227" s="16" t="str">
        <x:v>世界桥牌团体锦标赛</x:v>
      </x:c>
      <x:c r="H227" s="16" t="str">
        <x:v>Transnational Open Teams 跨国公开团体</x:v>
      </x:c>
      <x:c r="I227" s="16" t="n">
        <x:v>2</x:v>
      </x:c>
      <x:c r="J227" s="16" t="str">
        <x:v>银牌</x:v>
      </x:c>
      <x:c r="K227" s="16" t="str">
        <x:v>TRANSNATIONAL TEAM</x:v>
      </x:c>
      <x:c r="L227" s="16" t="str">
        <x:v>https://www.wbfmasterpoints.com/Medalsreport.asp</x:v>
      </x:c>
    </x:row>
    <x:row r="228">
      <x:c r="A228" s="35" t="str">
        <x:v>WBF-048</x:v>
      </x:c>
      <x:c r="B228" s="35" t="str">
        <x:v>Wen Fei Wang</x:v>
      </x:c>
      <x:c r="C228" s="35" t="str">
        <x:v>王文霏</x:v>
      </x:c>
      <x:c r="D228" s="35" t="str">
        <x:v>已由中文报道核对</x:v>
      </x:c>
      <x:c r="E228" s="35" t="str">
        <x:v>2017</x:v>
      </x:c>
      <x:c r="F228" s="35" t="str">
        <x:v>里昂，法国</x:v>
      </x:c>
      <x:c r="G228" s="35" t="str">
        <x:v>世界桥牌团体锦标赛</x:v>
      </x:c>
      <x:c r="H228" s="35" t="str">
        <x:v>Venice Cup 女子团体</x:v>
      </x:c>
      <x:c r="I228" s="35" t="n">
        <x:v>1</x:v>
      </x:c>
      <x:c r="J228" s="35" t="str">
        <x:v>金牌</x:v>
      </x:c>
      <x:c r="K228" s="35" t="str">
        <x:v>CHINA</x:v>
      </x:c>
      <x:c r="L228" s="35" t="str">
        <x:v>https://www.wbfmasterpoints.com/Medalsreport.asp</x:v>
      </x:c>
    </x:row>
    <x:row r="229">
      <x:c r="A229" s="16" t="str">
        <x:v>WBF-048</x:v>
      </x:c>
      <x:c r="B229" s="16" t="str">
        <x:v>Yan Lu</x:v>
      </x:c>
      <x:c r="C229" s="16" t="str">
        <x:v>卢燕</x:v>
      </x:c>
      <x:c r="D229" s="16" t="str">
        <x:v>已由中文报道核对</x:v>
      </x:c>
      <x:c r="E229" s="16" t="str">
        <x:v>2017</x:v>
      </x:c>
      <x:c r="F229" s="16" t="str">
        <x:v>里昂，法国</x:v>
      </x:c>
      <x:c r="G229" s="16" t="str">
        <x:v>世界桥牌团体锦标赛</x:v>
      </x:c>
      <x:c r="H229" s="16" t="str">
        <x:v>Venice Cup 女子团体</x:v>
      </x:c>
      <x:c r="I229" s="16" t="n">
        <x:v>1</x:v>
      </x:c>
      <x:c r="J229" s="16" t="str">
        <x:v>金牌</x:v>
      </x:c>
      <x:c r="K229" s="16" t="str">
        <x:v>CHINA</x:v>
      </x:c>
      <x:c r="L229" s="16" t="str">
        <x:v>https://www.wbfmasterpoints.com/Medalsreport.asp</x:v>
      </x:c>
    </x:row>
    <x:row r="230">
      <x:c r="A230" s="35" t="str">
        <x:v>WBF-048</x:v>
      </x:c>
      <x:c r="B230" s="35" t="str">
        <x:v>Qi Shen</x:v>
      </x:c>
      <x:c r="C230" s="35" t="str">
        <x:v>沈琦</x:v>
      </x:c>
      <x:c r="D230" s="35" t="str">
        <x:v>已由中文报道核对</x:v>
      </x:c>
      <x:c r="E230" s="35" t="str">
        <x:v>2017</x:v>
      </x:c>
      <x:c r="F230" s="35" t="str">
        <x:v>里昂，法国</x:v>
      </x:c>
      <x:c r="G230" s="35" t="str">
        <x:v>世界桥牌团体锦标赛</x:v>
      </x:c>
      <x:c r="H230" s="35" t="str">
        <x:v>Venice Cup 女子团体</x:v>
      </x:c>
      <x:c r="I230" s="35" t="n">
        <x:v>1</x:v>
      </x:c>
      <x:c r="J230" s="35" t="str">
        <x:v>金牌</x:v>
      </x:c>
      <x:c r="K230" s="35" t="str">
        <x:v>CHINA</x:v>
      </x:c>
      <x:c r="L230" s="35" t="str">
        <x:v>https://www.wbfmasterpoints.com/Medalsreport.asp</x:v>
      </x:c>
    </x:row>
    <x:row r="231">
      <x:c r="A231" s="16" t="str">
        <x:v>WBF-048</x:v>
      </x:c>
      <x:c r="B231" s="16" t="str">
        <x:v>Yan Huang</x:v>
      </x:c>
      <x:c r="C231" s="16" t="str"/>
      <x:c r="D231" s="16" t="str">
        <x:v>未核实中文写法（最佳猜测及依据见专表）</x:v>
      </x:c>
      <x:c r="E231" s="16" t="str">
        <x:v>2017</x:v>
      </x:c>
      <x:c r="F231" s="16" t="str">
        <x:v>里昂，法国</x:v>
      </x:c>
      <x:c r="G231" s="16" t="str">
        <x:v>世界桥牌团体锦标赛</x:v>
      </x:c>
      <x:c r="H231" s="16" t="str">
        <x:v>Venice Cup 女子团体</x:v>
      </x:c>
      <x:c r="I231" s="16" t="n">
        <x:v>1</x:v>
      </x:c>
      <x:c r="J231" s="16" t="str">
        <x:v>金牌</x:v>
      </x:c>
      <x:c r="K231" s="16" t="str">
        <x:v>CHINA</x:v>
      </x:c>
      <x:c r="L231" s="16" t="str">
        <x:v>https://www.wbfmasterpoints.com/Medalsreport.asp</x:v>
      </x:c>
    </x:row>
    <x:row r="232">
      <x:c r="A232" s="35" t="str">
        <x:v>WBF-048</x:v>
      </x:c>
      <x:c r="B232" s="35" t="str">
        <x:v>Yan Liu</x:v>
      </x:c>
      <x:c r="C232" s="35" t="str">
        <x:v>刘艳</x:v>
      </x:c>
      <x:c r="D232" s="35" t="str">
        <x:v>已由中文报道核对</x:v>
      </x:c>
      <x:c r="E232" s="35" t="str">
        <x:v>2017</x:v>
      </x:c>
      <x:c r="F232" s="35" t="str">
        <x:v>里昂，法国</x:v>
      </x:c>
      <x:c r="G232" s="35" t="str">
        <x:v>世界桥牌团体锦标赛</x:v>
      </x:c>
      <x:c r="H232" s="35" t="str">
        <x:v>Venice Cup 女子团体</x:v>
      </x:c>
      <x:c r="I232" s="35" t="n">
        <x:v>1</x:v>
      </x:c>
      <x:c r="J232" s="35" t="str">
        <x:v>金牌</x:v>
      </x:c>
      <x:c r="K232" s="35" t="str">
        <x:v>CHINA</x:v>
      </x:c>
      <x:c r="L232" s="35" t="str">
        <x:v>https://www.wbfmasterpoints.com/Medalsreport.asp</x:v>
      </x:c>
    </x:row>
    <x:row r="233">
      <x:c r="A233" s="16" t="str">
        <x:v>WBF-048</x:v>
      </x:c>
      <x:c r="B233" s="16" t="str">
        <x:v>Nan Wang</x:v>
      </x:c>
      <x:c r="C233" s="16" t="str">
        <x:v>王南</x:v>
      </x:c>
      <x:c r="D233" s="16" t="str">
        <x:v>已由中文报道核对</x:v>
      </x:c>
      <x:c r="E233" s="16" t="str">
        <x:v>2017</x:v>
      </x:c>
      <x:c r="F233" s="16" t="str">
        <x:v>里昂，法国</x:v>
      </x:c>
      <x:c r="G233" s="16" t="str">
        <x:v>世界桥牌团体锦标赛</x:v>
      </x:c>
      <x:c r="H233" s="16" t="str">
        <x:v>Venice Cup 女子团体</x:v>
      </x:c>
      <x:c r="I233" s="16" t="n">
        <x:v>1</x:v>
      </x:c>
      <x:c r="J233" s="16" t="str">
        <x:v>金牌</x:v>
      </x:c>
      <x:c r="K233" s="16" t="str">
        <x:v>CHINA</x:v>
      </x:c>
      <x:c r="L233" s="16" t="str">
        <x:v>https://www.wbfmasterpoints.com/Medalsreport.asp</x:v>
      </x:c>
    </x:row>
    <x:row r="234">
      <x:c r="A234" s="35" t="str">
        <x:v>WBF-049</x:v>
      </x:c>
      <x:c r="B234" s="35" t="str">
        <x:v>Haochen Liu</x:v>
      </x:c>
      <x:c r="C234" s="35" t="str"/>
      <x:c r="D234" s="35" t="str">
        <x:v>未核实中文写法（最佳猜测及依据见专表）</x:v>
      </x:c>
      <x:c r="E234" s="35" t="str">
        <x:v>2017-08-15—2017-08-24</x:v>
      </x:c>
      <x:c r="F234" s="35" t="str">
        <x:v>里昂，法国</x:v>
      </x:c>
      <x:c r="G234" s="35" t="str">
        <x:v>第5届世界青年公开锦标赛</x:v>
      </x:c>
      <x:c r="H234" s="35" t="str">
        <x:v>U16 BAM</x:v>
      </x:c>
      <x:c r="I234" s="35" t="n">
        <x:v>1</x:v>
      </x:c>
      <x:c r="J234" s="35" t="str">
        <x:v>金牌</x:v>
      </x:c>
      <x:c r="K234" s="35" t="str">
        <x:v>SHENGXING VENUS</x:v>
      </x:c>
      <x:c r="L234" s="35" t="str">
        <x:v>https://www.worldbridge.org/competitions/the-world-youth-transnational-bridge-championships/</x:v>
      </x:c>
    </x:row>
    <x:row r="235">
      <x:c r="A235" s="16" t="str">
        <x:v>WBF-049</x:v>
      </x:c>
      <x:c r="B235" s="16" t="str">
        <x:v>Yizhou Liu</x:v>
      </x:c>
      <x:c r="C235" s="16" t="str"/>
      <x:c r="D235" s="16" t="str">
        <x:v>未核实中文写法（最佳猜测及依据见专表）</x:v>
      </x:c>
      <x:c r="E235" s="16" t="str">
        <x:v>2017-08-15—2017-08-24</x:v>
      </x:c>
      <x:c r="F235" s="16" t="str">
        <x:v>里昂，法国</x:v>
      </x:c>
      <x:c r="G235" s="16" t="str">
        <x:v>第5届世界青年公开锦标赛</x:v>
      </x:c>
      <x:c r="H235" s="16" t="str">
        <x:v>U16 BAM</x:v>
      </x:c>
      <x:c r="I235" s="16" t="n">
        <x:v>1</x:v>
      </x:c>
      <x:c r="J235" s="16" t="str">
        <x:v>金牌</x:v>
      </x:c>
      <x:c r="K235" s="16" t="str">
        <x:v>SHENGXING VENUS</x:v>
      </x:c>
      <x:c r="L235" s="16" t="str">
        <x:v>https://www.worldbridge.org/competitions/the-world-youth-transnational-bridge-championships/</x:v>
      </x:c>
    </x:row>
    <x:row r="236">
      <x:c r="A236" s="35" t="str">
        <x:v>WBF-049</x:v>
      </x:c>
      <x:c r="B236" s="35" t="str">
        <x:v>Mingyu Lu</x:v>
      </x:c>
      <x:c r="C236" s="35" t="str"/>
      <x:c r="D236" s="35" t="str">
        <x:v>未核实中文写法（最佳猜测及依据见专表）</x:v>
      </x:c>
      <x:c r="E236" s="35" t="str">
        <x:v>2017-08-15—2017-08-24</x:v>
      </x:c>
      <x:c r="F236" s="35" t="str">
        <x:v>里昂，法国</x:v>
      </x:c>
      <x:c r="G236" s="35" t="str">
        <x:v>第5届世界青年公开锦标赛</x:v>
      </x:c>
      <x:c r="H236" s="35" t="str">
        <x:v>U16 BAM</x:v>
      </x:c>
      <x:c r="I236" s="35" t="n">
        <x:v>1</x:v>
      </x:c>
      <x:c r="J236" s="35" t="str">
        <x:v>金牌</x:v>
      </x:c>
      <x:c r="K236" s="35" t="str">
        <x:v>SHENGXING VENUS</x:v>
      </x:c>
      <x:c r="L236" s="35" t="str">
        <x:v>https://www.worldbridge.org/competitions/the-world-youth-transnational-bridge-championships/</x:v>
      </x:c>
    </x:row>
    <x:row r="237">
      <x:c r="A237" s="16" t="str">
        <x:v>WBF-049</x:v>
      </x:c>
      <x:c r="B237" s="16" t="str">
        <x:v>Ruicheng Mao</x:v>
      </x:c>
      <x:c r="C237" s="16" t="str"/>
      <x:c r="D237" s="16" t="str">
        <x:v>未核实中文写法（最佳猜测及依据见专表）</x:v>
      </x:c>
      <x:c r="E237" s="16" t="str">
        <x:v>2017-08-15—2017-08-24</x:v>
      </x:c>
      <x:c r="F237" s="16" t="str">
        <x:v>里昂，法国</x:v>
      </x:c>
      <x:c r="G237" s="16" t="str">
        <x:v>第5届世界青年公开锦标赛</x:v>
      </x:c>
      <x:c r="H237" s="16" t="str">
        <x:v>U16 BAM</x:v>
      </x:c>
      <x:c r="I237" s="16" t="n">
        <x:v>1</x:v>
      </x:c>
      <x:c r="J237" s="16" t="str">
        <x:v>金牌</x:v>
      </x:c>
      <x:c r="K237" s="16" t="str">
        <x:v>SHENGXING VENUS</x:v>
      </x:c>
      <x:c r="L237" s="16" t="str">
        <x:v>https://www.worldbridge.org/competitions/the-world-youth-transnational-bridge-championships/</x:v>
      </x:c>
    </x:row>
    <x:row r="238">
      <x:c r="A238" s="35" t="str">
        <x:v>WBF-049</x:v>
      </x:c>
      <x:c r="B238" s="35" t="str">
        <x:v>Tianle Yao</x:v>
      </x:c>
      <x:c r="C238" s="35" t="str"/>
      <x:c r="D238" s="35" t="str">
        <x:v>未核实中文写法（最佳猜测及依据见专表）</x:v>
      </x:c>
      <x:c r="E238" s="35" t="str">
        <x:v>2017-08-15—2017-08-24</x:v>
      </x:c>
      <x:c r="F238" s="35" t="str">
        <x:v>里昂，法国</x:v>
      </x:c>
      <x:c r="G238" s="35" t="str">
        <x:v>第5届世界青年公开锦标赛</x:v>
      </x:c>
      <x:c r="H238" s="35" t="str">
        <x:v>U16 BAM</x:v>
      </x:c>
      <x:c r="I238" s="35" t="n">
        <x:v>1</x:v>
      </x:c>
      <x:c r="J238" s="35" t="str">
        <x:v>金牌</x:v>
      </x:c>
      <x:c r="K238" s="35" t="str">
        <x:v>SHENGXING VENUS</x:v>
      </x:c>
      <x:c r="L238" s="35" t="str">
        <x:v>https://www.worldbridge.org/competitions/the-world-youth-transnational-bridge-championships/</x:v>
      </x:c>
    </x:row>
    <x:row r="239">
      <x:c r="A239" s="16" t="str">
        <x:v>WBF-049</x:v>
      </x:c>
      <x:c r="B239" s="16" t="str">
        <x:v>Zhaochen Yu</x:v>
      </x:c>
      <x:c r="C239" s="16" t="str"/>
      <x:c r="D239" s="16" t="str">
        <x:v>未核实中文写法（最佳猜测及依据见专表）</x:v>
      </x:c>
      <x:c r="E239" s="16" t="str">
        <x:v>2017-08-15—2017-08-24</x:v>
      </x:c>
      <x:c r="F239" s="16" t="str">
        <x:v>里昂，法国</x:v>
      </x:c>
      <x:c r="G239" s="16" t="str">
        <x:v>第5届世界青年公开锦标赛</x:v>
      </x:c>
      <x:c r="H239" s="16" t="str">
        <x:v>U16 BAM</x:v>
      </x:c>
      <x:c r="I239" s="16" t="n">
        <x:v>1</x:v>
      </x:c>
      <x:c r="J239" s="16" t="str">
        <x:v>金牌</x:v>
      </x:c>
      <x:c r="K239" s="16" t="str">
        <x:v>SHENGXING VENUS</x:v>
      </x:c>
      <x:c r="L239" s="16" t="str">
        <x:v>https://www.worldbridge.org/competitions/the-world-youth-transnational-bridge-championships/</x:v>
      </x:c>
    </x:row>
    <x:row r="240">
      <x:c r="A240" s="35" t="str">
        <x:v>WBF-050</x:v>
      </x:c>
      <x:c r="B240" s="35" t="str">
        <x:v>Licong Cheng</x:v>
      </x:c>
      <x:c r="C240" s="35" t="str"/>
      <x:c r="D240" s="35" t="str">
        <x:v>未核实中文写法（最佳猜测及依据见专表）</x:v>
      </x:c>
      <x:c r="E240" s="35" t="str">
        <x:v>2017-08-15—2017-08-24</x:v>
      </x:c>
      <x:c r="F240" s="35" t="str">
        <x:v>里昂，法国</x:v>
      </x:c>
      <x:c r="G240" s="35" t="str">
        <x:v>第5届世界青年公开锦标赛</x:v>
      </x:c>
      <x:c r="H240" s="35" t="str">
        <x:v>U16 BAM</x:v>
      </x:c>
      <x:c r="I240" s="35" t="n">
        <x:v>3</x:v>
      </x:c>
      <x:c r="J240" s="35" t="str">
        <x:v>铜牌</x:v>
      </x:c>
      <x:c r="K240" s="35" t="str">
        <x:v>SHENGXING SATURN</x:v>
      </x:c>
      <x:c r="L240" s="35" t="str">
        <x:v>https://www.worldbridge.org/competitions/the-world-youth-transnational-bridge-championships/</x:v>
      </x:c>
    </x:row>
    <x:row r="241">
      <x:c r="A241" s="16" t="str">
        <x:v>WBF-050</x:v>
      </x:c>
      <x:c r="B241" s="16" t="str">
        <x:v>Penghao Wang</x:v>
      </x:c>
      <x:c r="C241" s="16" t="str"/>
      <x:c r="D241" s="16" t="str">
        <x:v>未核实中文写法（最佳猜测及依据见专表）</x:v>
      </x:c>
      <x:c r="E241" s="16" t="str">
        <x:v>2017-08-15—2017-08-24</x:v>
      </x:c>
      <x:c r="F241" s="16" t="str">
        <x:v>里昂，法国</x:v>
      </x:c>
      <x:c r="G241" s="16" t="str">
        <x:v>第5届世界青年公开锦标赛</x:v>
      </x:c>
      <x:c r="H241" s="16" t="str">
        <x:v>U16 BAM</x:v>
      </x:c>
      <x:c r="I241" s="16" t="n">
        <x:v>3</x:v>
      </x:c>
      <x:c r="J241" s="16" t="str">
        <x:v>铜牌</x:v>
      </x:c>
      <x:c r="K241" s="16" t="str">
        <x:v>SHENGXING SATURN</x:v>
      </x:c>
      <x:c r="L241" s="16" t="str">
        <x:v>https://www.worldbridge.org/competitions/the-world-youth-transnational-bridge-championships/</x:v>
      </x:c>
    </x:row>
    <x:row r="242">
      <x:c r="A242" s="35" t="str">
        <x:v>WBF-050</x:v>
      </x:c>
      <x:c r="B242" s="35" t="str">
        <x:v>Ruizhe Wang</x:v>
      </x:c>
      <x:c r="C242" s="35" t="str"/>
      <x:c r="D242" s="35" t="str">
        <x:v>未核实中文写法（最佳猜测及依据见专表）</x:v>
      </x:c>
      <x:c r="E242" s="35" t="str">
        <x:v>2017-08-15—2017-08-24</x:v>
      </x:c>
      <x:c r="F242" s="35" t="str">
        <x:v>里昂，法国</x:v>
      </x:c>
      <x:c r="G242" s="35" t="str">
        <x:v>第5届世界青年公开锦标赛</x:v>
      </x:c>
      <x:c r="H242" s="35" t="str">
        <x:v>U16 BAM</x:v>
      </x:c>
      <x:c r="I242" s="35" t="n">
        <x:v>3</x:v>
      </x:c>
      <x:c r="J242" s="35" t="str">
        <x:v>铜牌</x:v>
      </x:c>
      <x:c r="K242" s="35" t="str">
        <x:v>SHENGXING SATURN</x:v>
      </x:c>
      <x:c r="L242" s="35" t="str">
        <x:v>https://www.worldbridge.org/competitions/the-world-youth-transnational-bridge-championships/</x:v>
      </x:c>
    </x:row>
    <x:row r="243">
      <x:c r="A243" s="16" t="str">
        <x:v>WBF-050</x:v>
      </x:c>
      <x:c r="B243" s="16" t="str">
        <x:v>Yingqi Wang</x:v>
      </x:c>
      <x:c r="C243" s="16" t="str"/>
      <x:c r="D243" s="16" t="str">
        <x:v>未核实中文写法（最佳猜测及依据见专表）</x:v>
      </x:c>
      <x:c r="E243" s="16" t="str">
        <x:v>2017-08-15—2017-08-24</x:v>
      </x:c>
      <x:c r="F243" s="16" t="str">
        <x:v>里昂，法国</x:v>
      </x:c>
      <x:c r="G243" s="16" t="str">
        <x:v>第5届世界青年公开锦标赛</x:v>
      </x:c>
      <x:c r="H243" s="16" t="str">
        <x:v>U16 BAM</x:v>
      </x:c>
      <x:c r="I243" s="16" t="n">
        <x:v>3</x:v>
      </x:c>
      <x:c r="J243" s="16" t="str">
        <x:v>铜牌</x:v>
      </x:c>
      <x:c r="K243" s="16" t="str">
        <x:v>SHENGXING SATURN</x:v>
      </x:c>
      <x:c r="L243" s="16" t="str">
        <x:v>https://www.worldbridge.org/competitions/the-world-youth-transnational-bridge-championships/</x:v>
      </x:c>
    </x:row>
    <x:row r="244">
      <x:c r="A244" s="35" t="str">
        <x:v>WBF-050</x:v>
      </x:c>
      <x:c r="B244" s="35" t="str">
        <x:v>Hao Xu</x:v>
      </x:c>
      <x:c r="C244" s="35" t="str"/>
      <x:c r="D244" s="35" t="str">
        <x:v>未核实中文写法（最佳猜测及依据见专表）</x:v>
      </x:c>
      <x:c r="E244" s="35" t="str">
        <x:v>2017-08-15—2017-08-24</x:v>
      </x:c>
      <x:c r="F244" s="35" t="str">
        <x:v>里昂，法国</x:v>
      </x:c>
      <x:c r="G244" s="35" t="str">
        <x:v>第5届世界青年公开锦标赛</x:v>
      </x:c>
      <x:c r="H244" s="35" t="str">
        <x:v>U16 BAM</x:v>
      </x:c>
      <x:c r="I244" s="35" t="n">
        <x:v>3</x:v>
      </x:c>
      <x:c r="J244" s="35" t="str">
        <x:v>铜牌</x:v>
      </x:c>
      <x:c r="K244" s="35" t="str">
        <x:v>SHENGXING SATURN</x:v>
      </x:c>
      <x:c r="L244" s="35" t="str">
        <x:v>https://www.worldbridge.org/competitions/the-world-youth-transnational-bridge-championships/</x:v>
      </x:c>
    </x:row>
    <x:row r="245">
      <x:c r="A245" s="16" t="str">
        <x:v>WBF-050</x:v>
      </x:c>
      <x:c r="B245" s="16" t="str">
        <x:v>Jiahao Yang</x:v>
      </x:c>
      <x:c r="C245" s="16" t="str"/>
      <x:c r="D245" s="16" t="str">
        <x:v>未核实中文写法（最佳猜测及依据见专表）</x:v>
      </x:c>
      <x:c r="E245" s="16" t="str">
        <x:v>2017-08-15—2017-08-24</x:v>
      </x:c>
      <x:c r="F245" s="16" t="str">
        <x:v>里昂，法国</x:v>
      </x:c>
      <x:c r="G245" s="16" t="str">
        <x:v>第5届世界青年公开锦标赛</x:v>
      </x:c>
      <x:c r="H245" s="16" t="str">
        <x:v>U16 BAM</x:v>
      </x:c>
      <x:c r="I245" s="16" t="n">
        <x:v>3</x:v>
      </x:c>
      <x:c r="J245" s="16" t="str">
        <x:v>铜牌</x:v>
      </x:c>
      <x:c r="K245" s="16" t="str">
        <x:v>SHENGXING SATURN</x:v>
      </x:c>
      <x:c r="L245" s="16" t="str">
        <x:v>https://www.worldbridge.org/competitions/the-world-youth-transnational-bridge-championships/</x:v>
      </x:c>
    </x:row>
    <x:row r="246">
      <x:c r="A246" s="35" t="str">
        <x:v>WBF-051</x:v>
      </x:c>
      <x:c r="B246" s="35" t="str">
        <x:v>Yizhou Liu</x:v>
      </x:c>
      <x:c r="C246" s="35" t="str"/>
      <x:c r="D246" s="35" t="str">
        <x:v>未核实中文写法（最佳猜测及依据见专表）</x:v>
      </x:c>
      <x:c r="E246" s="35" t="str">
        <x:v>2017-08-15—2017-08-24</x:v>
      </x:c>
      <x:c r="F246" s="35" t="str">
        <x:v>里昂，法国</x:v>
      </x:c>
      <x:c r="G246" s="35" t="str">
        <x:v>第5届世界青年公开锦标赛</x:v>
      </x:c>
      <x:c r="H246" s="35" t="str">
        <x:v>U16 Pairs / Kids Pairs</x:v>
      </x:c>
      <x:c r="I246" s="35" t="n">
        <x:v>1</x:v>
      </x:c>
      <x:c r="J246" s="35" t="str">
        <x:v>金牌</x:v>
      </x:c>
      <x:c r="K246" s="35" t="str">
        <x:v>Yizhou Liu – Mingyu Lu</x:v>
      </x:c>
      <x:c r="L246" s="35" t="str">
        <x:v>https://db.worldbridge.org/repository/tourn/lyonyouth.17/microsite/Asp/TotalPairs.asp?qtournid=1457&amp;qroundno=3&amp;qgroupno=1</x:v>
      </x:c>
    </x:row>
    <x:row r="247">
      <x:c r="A247" s="16" t="str">
        <x:v>WBF-051</x:v>
      </x:c>
      <x:c r="B247" s="16" t="str">
        <x:v>Mingyu Lu</x:v>
      </x:c>
      <x:c r="C247" s="16" t="str"/>
      <x:c r="D247" s="16" t="str">
        <x:v>未核实中文写法（最佳猜测及依据见专表）</x:v>
      </x:c>
      <x:c r="E247" s="16" t="str">
        <x:v>2017-08-15—2017-08-24</x:v>
      </x:c>
      <x:c r="F247" s="16" t="str">
        <x:v>里昂，法国</x:v>
      </x:c>
      <x:c r="G247" s="16" t="str">
        <x:v>第5届世界青年公开锦标赛</x:v>
      </x:c>
      <x:c r="H247" s="16" t="str">
        <x:v>U16 Pairs / Kids Pairs</x:v>
      </x:c>
      <x:c r="I247" s="16" t="n">
        <x:v>1</x:v>
      </x:c>
      <x:c r="J247" s="16" t="str">
        <x:v>金牌</x:v>
      </x:c>
      <x:c r="K247" s="16" t="str">
        <x:v>Yizhou Liu – Mingyu Lu</x:v>
      </x:c>
      <x:c r="L247" s="16" t="str">
        <x:v>https://db.worldbridge.org/repository/tourn/lyonyouth.17/microsite/Asp/TotalPairs.asp?qtournid=1457&amp;qroundno=3&amp;qgroupno=1</x:v>
      </x:c>
    </x:row>
    <x:row r="248">
      <x:c r="A248" s="35" t="str">
        <x:v>WBF-052</x:v>
      </x:c>
      <x:c r="B248" s="35" t="str">
        <x:v>Ruicheng Mao</x:v>
      </x:c>
      <x:c r="C248" s="35" t="str"/>
      <x:c r="D248" s="35" t="str">
        <x:v>未核实中文写法（最佳猜测及依据见专表）</x:v>
      </x:c>
      <x:c r="E248" s="35" t="str">
        <x:v>2017-08-15—2017-08-24</x:v>
      </x:c>
      <x:c r="F248" s="35" t="str">
        <x:v>里昂，法国</x:v>
      </x:c>
      <x:c r="G248" s="35" t="str">
        <x:v>第5届世界青年公开锦标赛</x:v>
      </x:c>
      <x:c r="H248" s="35" t="str">
        <x:v>U16 Pairs / Kids Pairs</x:v>
      </x:c>
      <x:c r="I248" s="35" t="n">
        <x:v>2</x:v>
      </x:c>
      <x:c r="J248" s="35" t="str">
        <x:v>银牌</x:v>
      </x:c>
      <x:c r="K248" s="35" t="str">
        <x:v>Ruicheng Mao – Zhaochen Yu</x:v>
      </x:c>
      <x:c r="L248" s="35" t="str">
        <x:v>https://db.worldbridge.org/repository/tourn/lyonyouth.17/microsite/Asp/TotalPairs.asp?qtournid=1457&amp;qroundno=3&amp;qgroupno=1</x:v>
      </x:c>
    </x:row>
    <x:row r="249">
      <x:c r="A249" s="16" t="str">
        <x:v>WBF-052</x:v>
      </x:c>
      <x:c r="B249" s="16" t="str">
        <x:v>Zhaochen Yu</x:v>
      </x:c>
      <x:c r="C249" s="16" t="str"/>
      <x:c r="D249" s="16" t="str">
        <x:v>未核实中文写法（最佳猜测及依据见专表）</x:v>
      </x:c>
      <x:c r="E249" s="16" t="str">
        <x:v>2017-08-15—2017-08-24</x:v>
      </x:c>
      <x:c r="F249" s="16" t="str">
        <x:v>里昂，法国</x:v>
      </x:c>
      <x:c r="G249" s="16" t="str">
        <x:v>第5届世界青年公开锦标赛</x:v>
      </x:c>
      <x:c r="H249" s="16" t="str">
        <x:v>U16 Pairs / Kids Pairs</x:v>
      </x:c>
      <x:c r="I249" s="16" t="n">
        <x:v>2</x:v>
      </x:c>
      <x:c r="J249" s="16" t="str">
        <x:v>银牌</x:v>
      </x:c>
      <x:c r="K249" s="16" t="str">
        <x:v>Ruicheng Mao – Zhaochen Yu</x:v>
      </x:c>
      <x:c r="L249" s="16" t="str">
        <x:v>https://db.worldbridge.org/repository/tourn/lyonyouth.17/microsite/Asp/TotalPairs.asp?qtournid=1457&amp;qroundno=3&amp;qgroupno=1</x:v>
      </x:c>
    </x:row>
    <x:row r="250">
      <x:c r="A250" s="35" t="str">
        <x:v>WBF-053</x:v>
      </x:c>
      <x:c r="B250" s="35" t="str">
        <x:v>Licong Cheng</x:v>
      </x:c>
      <x:c r="C250" s="35" t="str"/>
      <x:c r="D250" s="35" t="str">
        <x:v>未核实中文写法（最佳猜测及依据见专表）</x:v>
      </x:c>
      <x:c r="E250" s="35" t="str">
        <x:v>2017-08-15—2017-08-24</x:v>
      </x:c>
      <x:c r="F250" s="35" t="str">
        <x:v>里昂，法国</x:v>
      </x:c>
      <x:c r="G250" s="35" t="str">
        <x:v>第5届世界青年公开锦标赛</x:v>
      </x:c>
      <x:c r="H250" s="35" t="str">
        <x:v>U16 Pairs / Kids Pairs</x:v>
      </x:c>
      <x:c r="I250" s="35" t="n">
        <x:v>3</x:v>
      </x:c>
      <x:c r="J250" s="35" t="str">
        <x:v>铜牌</x:v>
      </x:c>
      <x:c r="K250" s="35" t="str">
        <x:v>Licong Cheng – Penghao Wang</x:v>
      </x:c>
      <x:c r="L250" s="35" t="str">
        <x:v>https://db.worldbridge.org/repository/tourn/lyonyouth.17/microsite/Asp/TotalPairs.asp?qtournid=1457&amp;qroundno=3&amp;qgroupno=1</x:v>
      </x:c>
    </x:row>
    <x:row r="251">
      <x:c r="A251" s="16" t="str">
        <x:v>WBF-053</x:v>
      </x:c>
      <x:c r="B251" s="16" t="str">
        <x:v>Penghao Wang</x:v>
      </x:c>
      <x:c r="C251" s="16" t="str"/>
      <x:c r="D251" s="16" t="str">
        <x:v>未核实中文写法（最佳猜测及依据见专表）</x:v>
      </x:c>
      <x:c r="E251" s="16" t="str">
        <x:v>2017-08-15—2017-08-24</x:v>
      </x:c>
      <x:c r="F251" s="16" t="str">
        <x:v>里昂，法国</x:v>
      </x:c>
      <x:c r="G251" s="16" t="str">
        <x:v>第5届世界青年公开锦标赛</x:v>
      </x:c>
      <x:c r="H251" s="16" t="str">
        <x:v>U16 Pairs / Kids Pairs</x:v>
      </x:c>
      <x:c r="I251" s="16" t="n">
        <x:v>3</x:v>
      </x:c>
      <x:c r="J251" s="16" t="str">
        <x:v>铜牌</x:v>
      </x:c>
      <x:c r="K251" s="16" t="str">
        <x:v>Licong Cheng – Penghao Wang</x:v>
      </x:c>
      <x:c r="L251" s="16" t="str">
        <x:v>https://db.worldbridge.org/repository/tourn/lyonyouth.17/microsite/Asp/TotalPairs.asp?qtournid=1457&amp;qroundno=3&amp;qgroupno=1</x:v>
      </x:c>
    </x:row>
    <x:row r="252">
      <x:c r="A252" s="35" t="str">
        <x:v>WBF-054</x:v>
      </x:c>
      <x:c r="B252" s="35" t="str">
        <x:v>Zhenhao Cai</x:v>
      </x:c>
      <x:c r="C252" s="35" t="str"/>
      <x:c r="D252" s="35" t="str">
        <x:v>未核实中文写法（最佳猜测及依据见专表）</x:v>
      </x:c>
      <x:c r="E252" s="35" t="str">
        <x:v>2017-08-15—2017-08-24</x:v>
      </x:c>
      <x:c r="F252" s="35" t="str">
        <x:v>里昂，法国</x:v>
      </x:c>
      <x:c r="G252" s="35" t="str">
        <x:v>第5届世界青年公开锦标赛</x:v>
      </x:c>
      <x:c r="H252" s="35" t="str">
        <x:v>U16 Teams / Kids Teams</x:v>
      </x:c>
      <x:c r="I252" s="35" t="n">
        <x:v>1</x:v>
      </x:c>
      <x:c r="J252" s="35" t="str">
        <x:v>金牌</x:v>
      </x:c>
      <x:c r="K252" s="35" t="str">
        <x:v>CHINA RDFZ GALAXY</x:v>
      </x:c>
      <x:c r="L252" s="35" t="str">
        <x:v>https://www.worldbridge.org/competitions/the-world-youth-transnational-bridge-championships/</x:v>
      </x:c>
    </x:row>
    <x:row r="253">
      <x:c r="A253" s="16" t="str">
        <x:v>WBF-054</x:v>
      </x:c>
      <x:c r="B253" s="16" t="str">
        <x:v>Jingfan Chen</x:v>
      </x:c>
      <x:c r="C253" s="16" t="str"/>
      <x:c r="D253" s="16" t="str">
        <x:v>未核实中文写法（最佳猜测及依据见专表）</x:v>
      </x:c>
      <x:c r="E253" s="16" t="str">
        <x:v>2017-08-15—2017-08-24</x:v>
      </x:c>
      <x:c r="F253" s="16" t="str">
        <x:v>里昂，法国</x:v>
      </x:c>
      <x:c r="G253" s="16" t="str">
        <x:v>第5届世界青年公开锦标赛</x:v>
      </x:c>
      <x:c r="H253" s="16" t="str">
        <x:v>U16 Teams / Kids Teams</x:v>
      </x:c>
      <x:c r="I253" s="16" t="n">
        <x:v>1</x:v>
      </x:c>
      <x:c r="J253" s="16" t="str">
        <x:v>金牌</x:v>
      </x:c>
      <x:c r="K253" s="16" t="str">
        <x:v>CHINA RDFZ GALAXY</x:v>
      </x:c>
      <x:c r="L253" s="16" t="str">
        <x:v>https://www.worldbridge.org/competitions/the-world-youth-transnational-bridge-championships/</x:v>
      </x:c>
    </x:row>
    <x:row r="254">
      <x:c r="A254" s="35" t="str">
        <x:v>WBF-054</x:v>
      </x:c>
      <x:c r="B254" s="35" t="str">
        <x:v>Yuanzhe Niu</x:v>
      </x:c>
      <x:c r="C254" s="35" t="str"/>
      <x:c r="D254" s="35" t="str">
        <x:v>未核实中文写法（最佳猜测及依据见专表）</x:v>
      </x:c>
      <x:c r="E254" s="35" t="str">
        <x:v>2017-08-15—2017-08-24</x:v>
      </x:c>
      <x:c r="F254" s="35" t="str">
        <x:v>里昂，法国</x:v>
      </x:c>
      <x:c r="G254" s="35" t="str">
        <x:v>第5届世界青年公开锦标赛</x:v>
      </x:c>
      <x:c r="H254" s="35" t="str">
        <x:v>U16 Teams / Kids Teams</x:v>
      </x:c>
      <x:c r="I254" s="35" t="n">
        <x:v>1</x:v>
      </x:c>
      <x:c r="J254" s="35" t="str">
        <x:v>金牌</x:v>
      </x:c>
      <x:c r="K254" s="35" t="str">
        <x:v>CHINA RDFZ GALAXY</x:v>
      </x:c>
      <x:c r="L254" s="35" t="str">
        <x:v>https://www.worldbridge.org/competitions/the-world-youth-transnational-bridge-championships/</x:v>
      </x:c>
    </x:row>
    <x:row r="255">
      <x:c r="A255" s="16" t="str">
        <x:v>WBF-054</x:v>
      </x:c>
      <x:c r="B255" s="16" t="str">
        <x:v>Zhaofeng Wang</x:v>
      </x:c>
      <x:c r="C255" s="16" t="str"/>
      <x:c r="D255" s="16" t="str">
        <x:v>未核实中文写法（最佳猜测及依据见专表）</x:v>
      </x:c>
      <x:c r="E255" s="16" t="str">
        <x:v>2017-08-15—2017-08-24</x:v>
      </x:c>
      <x:c r="F255" s="16" t="str">
        <x:v>里昂，法国</x:v>
      </x:c>
      <x:c r="G255" s="16" t="str">
        <x:v>第5届世界青年公开锦标赛</x:v>
      </x:c>
      <x:c r="H255" s="16" t="str">
        <x:v>U16 Teams / Kids Teams</x:v>
      </x:c>
      <x:c r="I255" s="16" t="n">
        <x:v>1</x:v>
      </x:c>
      <x:c r="J255" s="16" t="str">
        <x:v>金牌</x:v>
      </x:c>
      <x:c r="K255" s="16" t="str">
        <x:v>CHINA RDFZ GALAXY</x:v>
      </x:c>
      <x:c r="L255" s="16" t="str">
        <x:v>https://www.worldbridge.org/competitions/the-world-youth-transnational-bridge-championships/</x:v>
      </x:c>
    </x:row>
    <x:row r="256">
      <x:c r="A256" s="35" t="str">
        <x:v>WBF-054</x:v>
      </x:c>
      <x:c r="B256" s="35" t="str">
        <x:v>Boxin Zhang</x:v>
      </x:c>
      <x:c r="C256" s="35" t="str"/>
      <x:c r="D256" s="35" t="str">
        <x:v>未核实中文写法（最佳猜测及依据见专表）</x:v>
      </x:c>
      <x:c r="E256" s="35" t="str">
        <x:v>2017-08-15—2017-08-24</x:v>
      </x:c>
      <x:c r="F256" s="35" t="str">
        <x:v>里昂，法国</x:v>
      </x:c>
      <x:c r="G256" s="35" t="str">
        <x:v>第5届世界青年公开锦标赛</x:v>
      </x:c>
      <x:c r="H256" s="35" t="str">
        <x:v>U16 Teams / Kids Teams</x:v>
      </x:c>
      <x:c r="I256" s="35" t="n">
        <x:v>1</x:v>
      </x:c>
      <x:c r="J256" s="35" t="str">
        <x:v>金牌</x:v>
      </x:c>
      <x:c r="K256" s="35" t="str">
        <x:v>CHINA RDFZ GALAXY</x:v>
      </x:c>
      <x:c r="L256" s="35" t="str">
        <x:v>https://www.worldbridge.org/competitions/the-world-youth-transnational-bridge-championships/</x:v>
      </x:c>
    </x:row>
    <x:row r="257">
      <x:c r="A257" s="16" t="str">
        <x:v>WBF-054</x:v>
      </x:c>
      <x:c r="B257" s="16" t="str">
        <x:v>Fangchen Zhao</x:v>
      </x:c>
      <x:c r="C257" s="16" t="str"/>
      <x:c r="D257" s="16" t="str">
        <x:v>未核实中文写法（最佳猜测及依据见专表）</x:v>
      </x:c>
      <x:c r="E257" s="16" t="str">
        <x:v>2017-08-15—2017-08-24</x:v>
      </x:c>
      <x:c r="F257" s="16" t="str">
        <x:v>里昂，法国</x:v>
      </x:c>
      <x:c r="G257" s="16" t="str">
        <x:v>第5届世界青年公开锦标赛</x:v>
      </x:c>
      <x:c r="H257" s="16" t="str">
        <x:v>U16 Teams / Kids Teams</x:v>
      </x:c>
      <x:c r="I257" s="16" t="n">
        <x:v>1</x:v>
      </x:c>
      <x:c r="J257" s="16" t="str">
        <x:v>金牌</x:v>
      </x:c>
      <x:c r="K257" s="16" t="str">
        <x:v>CHINA RDFZ GALAXY</x:v>
      </x:c>
      <x:c r="L257" s="16" t="str">
        <x:v>https://www.worldbridge.org/competitions/the-world-youth-transnational-bridge-championships/</x:v>
      </x:c>
    </x:row>
    <x:row r="258">
      <x:c r="A258" s="35" t="str">
        <x:v>WBF-055</x:v>
      </x:c>
      <x:c r="B258" s="35" t="str">
        <x:v>Haochen Liu</x:v>
      </x:c>
      <x:c r="C258" s="35" t="str"/>
      <x:c r="D258" s="35" t="str">
        <x:v>未核实中文写法（最佳猜测及依据见专表）</x:v>
      </x:c>
      <x:c r="E258" s="35" t="str">
        <x:v>2017-08-15—2017-08-24</x:v>
      </x:c>
      <x:c r="F258" s="35" t="str">
        <x:v>里昂，法国</x:v>
      </x:c>
      <x:c r="G258" s="35" t="str">
        <x:v>第5届世界青年公开锦标赛</x:v>
      </x:c>
      <x:c r="H258" s="35" t="str">
        <x:v>U16 Teams / Kids Teams</x:v>
      </x:c>
      <x:c r="I258" s="35" t="n">
        <x:v>2</x:v>
      </x:c>
      <x:c r="J258" s="35" t="str">
        <x:v>银牌</x:v>
      </x:c>
      <x:c r="K258" s="35" t="str">
        <x:v>SHENGXING VENUS</x:v>
      </x:c>
      <x:c r="L258" s="35" t="str">
        <x:v>https://www.worldbridge.org/competitions/the-world-youth-transnational-bridge-championships/</x:v>
      </x:c>
    </x:row>
    <x:row r="259">
      <x:c r="A259" s="16" t="str">
        <x:v>WBF-055</x:v>
      </x:c>
      <x:c r="B259" s="16" t="str">
        <x:v>Yizhou Liu</x:v>
      </x:c>
      <x:c r="C259" s="16" t="str"/>
      <x:c r="D259" s="16" t="str">
        <x:v>未核实中文写法（最佳猜测及依据见专表）</x:v>
      </x:c>
      <x:c r="E259" s="16" t="str">
        <x:v>2017-08-15—2017-08-24</x:v>
      </x:c>
      <x:c r="F259" s="16" t="str">
        <x:v>里昂，法国</x:v>
      </x:c>
      <x:c r="G259" s="16" t="str">
        <x:v>第5届世界青年公开锦标赛</x:v>
      </x:c>
      <x:c r="H259" s="16" t="str">
        <x:v>U16 Teams / Kids Teams</x:v>
      </x:c>
      <x:c r="I259" s="16" t="n">
        <x:v>2</x:v>
      </x:c>
      <x:c r="J259" s="16" t="str">
        <x:v>银牌</x:v>
      </x:c>
      <x:c r="K259" s="16" t="str">
        <x:v>SHENGXING VENUS</x:v>
      </x:c>
      <x:c r="L259" s="16" t="str">
        <x:v>https://www.worldbridge.org/competitions/the-world-youth-transnational-bridge-championships/</x:v>
      </x:c>
    </x:row>
    <x:row r="260">
      <x:c r="A260" s="35" t="str">
        <x:v>WBF-055</x:v>
      </x:c>
      <x:c r="B260" s="35" t="str">
        <x:v>Mingyu Lu</x:v>
      </x:c>
      <x:c r="C260" s="35" t="str"/>
      <x:c r="D260" s="35" t="str">
        <x:v>未核实中文写法（最佳猜测及依据见专表）</x:v>
      </x:c>
      <x:c r="E260" s="35" t="str">
        <x:v>2017-08-15—2017-08-24</x:v>
      </x:c>
      <x:c r="F260" s="35" t="str">
        <x:v>里昂，法国</x:v>
      </x:c>
      <x:c r="G260" s="35" t="str">
        <x:v>第5届世界青年公开锦标赛</x:v>
      </x:c>
      <x:c r="H260" s="35" t="str">
        <x:v>U16 Teams / Kids Teams</x:v>
      </x:c>
      <x:c r="I260" s="35" t="n">
        <x:v>2</x:v>
      </x:c>
      <x:c r="J260" s="35" t="str">
        <x:v>银牌</x:v>
      </x:c>
      <x:c r="K260" s="35" t="str">
        <x:v>SHENGXING VENUS</x:v>
      </x:c>
      <x:c r="L260" s="35" t="str">
        <x:v>https://www.worldbridge.org/competitions/the-world-youth-transnational-bridge-championships/</x:v>
      </x:c>
    </x:row>
    <x:row r="261">
      <x:c r="A261" s="16" t="str">
        <x:v>WBF-055</x:v>
      </x:c>
      <x:c r="B261" s="16" t="str">
        <x:v>Ruicheng Mao</x:v>
      </x:c>
      <x:c r="C261" s="16" t="str"/>
      <x:c r="D261" s="16" t="str">
        <x:v>未核实中文写法（最佳猜测及依据见专表）</x:v>
      </x:c>
      <x:c r="E261" s="16" t="str">
        <x:v>2017-08-15—2017-08-24</x:v>
      </x:c>
      <x:c r="F261" s="16" t="str">
        <x:v>里昂，法国</x:v>
      </x:c>
      <x:c r="G261" s="16" t="str">
        <x:v>第5届世界青年公开锦标赛</x:v>
      </x:c>
      <x:c r="H261" s="16" t="str">
        <x:v>U16 Teams / Kids Teams</x:v>
      </x:c>
      <x:c r="I261" s="16" t="n">
        <x:v>2</x:v>
      </x:c>
      <x:c r="J261" s="16" t="str">
        <x:v>银牌</x:v>
      </x:c>
      <x:c r="K261" s="16" t="str">
        <x:v>SHENGXING VENUS</x:v>
      </x:c>
      <x:c r="L261" s="16" t="str">
        <x:v>https://www.worldbridge.org/competitions/the-world-youth-transnational-bridge-championships/</x:v>
      </x:c>
    </x:row>
    <x:row r="262">
      <x:c r="A262" s="35" t="str">
        <x:v>WBF-055</x:v>
      </x:c>
      <x:c r="B262" s="35" t="str">
        <x:v>Tianle Yao</x:v>
      </x:c>
      <x:c r="C262" s="35" t="str"/>
      <x:c r="D262" s="35" t="str">
        <x:v>未核实中文写法（最佳猜测及依据见专表）</x:v>
      </x:c>
      <x:c r="E262" s="35" t="str">
        <x:v>2017-08-15—2017-08-24</x:v>
      </x:c>
      <x:c r="F262" s="35" t="str">
        <x:v>里昂，法国</x:v>
      </x:c>
      <x:c r="G262" s="35" t="str">
        <x:v>第5届世界青年公开锦标赛</x:v>
      </x:c>
      <x:c r="H262" s="35" t="str">
        <x:v>U16 Teams / Kids Teams</x:v>
      </x:c>
      <x:c r="I262" s="35" t="n">
        <x:v>2</x:v>
      </x:c>
      <x:c r="J262" s="35" t="str">
        <x:v>银牌</x:v>
      </x:c>
      <x:c r="K262" s="35" t="str">
        <x:v>SHENGXING VENUS</x:v>
      </x:c>
      <x:c r="L262" s="35" t="str">
        <x:v>https://www.worldbridge.org/competitions/the-world-youth-transnational-bridge-championships/</x:v>
      </x:c>
    </x:row>
    <x:row r="263">
      <x:c r="A263" s="16" t="str">
        <x:v>WBF-055</x:v>
      </x:c>
      <x:c r="B263" s="16" t="str">
        <x:v>Zhaochen Yu</x:v>
      </x:c>
      <x:c r="C263" s="16" t="str"/>
      <x:c r="D263" s="16" t="str">
        <x:v>未核实中文写法（最佳猜测及依据见专表）</x:v>
      </x:c>
      <x:c r="E263" s="16" t="str">
        <x:v>2017-08-15—2017-08-24</x:v>
      </x:c>
      <x:c r="F263" s="16" t="str">
        <x:v>里昂，法国</x:v>
      </x:c>
      <x:c r="G263" s="16" t="str">
        <x:v>第5届世界青年公开锦标赛</x:v>
      </x:c>
      <x:c r="H263" s="16" t="str">
        <x:v>U16 Teams / Kids Teams</x:v>
      </x:c>
      <x:c r="I263" s="16" t="n">
        <x:v>2</x:v>
      </x:c>
      <x:c r="J263" s="16" t="str">
        <x:v>银牌</x:v>
      </x:c>
      <x:c r="K263" s="16" t="str">
        <x:v>SHENGXING VENUS</x:v>
      </x:c>
      <x:c r="L263" s="16" t="str">
        <x:v>https://www.worldbridge.org/competitions/the-world-youth-transnational-bridge-championships/</x:v>
      </x:c>
    </x:row>
    <x:row r="264">
      <x:c r="A264" s="35" t="str">
        <x:v>WBF-056</x:v>
      </x:c>
      <x:c r="B264" s="35" t="str">
        <x:v>Licong Cheng</x:v>
      </x:c>
      <x:c r="C264" s="35" t="str"/>
      <x:c r="D264" s="35" t="str">
        <x:v>未核实中文写法（最佳猜测及依据见专表）</x:v>
      </x:c>
      <x:c r="E264" s="35" t="str">
        <x:v>2017-08-15—2017-08-24</x:v>
      </x:c>
      <x:c r="F264" s="35" t="str">
        <x:v>里昂，法国</x:v>
      </x:c>
      <x:c r="G264" s="35" t="str">
        <x:v>第5届世界青年公开锦标赛</x:v>
      </x:c>
      <x:c r="H264" s="35" t="str">
        <x:v>U16 Teams / Kids Teams</x:v>
      </x:c>
      <x:c r="I264" s="35" t="n">
        <x:v>3</x:v>
      </x:c>
      <x:c r="J264" s="35" t="str">
        <x:v>铜牌</x:v>
      </x:c>
      <x:c r="K264" s="35" t="str">
        <x:v>SHENGXING SATURN</x:v>
      </x:c>
      <x:c r="L264" s="35" t="str">
        <x:v>https://www.worldbridge.org/competitions/the-world-youth-transnational-bridge-championships/</x:v>
      </x:c>
    </x:row>
    <x:row r="265">
      <x:c r="A265" s="16" t="str">
        <x:v>WBF-056</x:v>
      </x:c>
      <x:c r="B265" s="16" t="str">
        <x:v>Penghao Wang</x:v>
      </x:c>
      <x:c r="C265" s="16" t="str"/>
      <x:c r="D265" s="16" t="str">
        <x:v>未核实中文写法（最佳猜测及依据见专表）</x:v>
      </x:c>
      <x:c r="E265" s="16" t="str">
        <x:v>2017-08-15—2017-08-24</x:v>
      </x:c>
      <x:c r="F265" s="16" t="str">
        <x:v>里昂，法国</x:v>
      </x:c>
      <x:c r="G265" s="16" t="str">
        <x:v>第5届世界青年公开锦标赛</x:v>
      </x:c>
      <x:c r="H265" s="16" t="str">
        <x:v>U16 Teams / Kids Teams</x:v>
      </x:c>
      <x:c r="I265" s="16" t="n">
        <x:v>3</x:v>
      </x:c>
      <x:c r="J265" s="16" t="str">
        <x:v>铜牌</x:v>
      </x:c>
      <x:c r="K265" s="16" t="str">
        <x:v>SHENGXING SATURN</x:v>
      </x:c>
      <x:c r="L265" s="16" t="str">
        <x:v>https://www.worldbridge.org/competitions/the-world-youth-transnational-bridge-championships/</x:v>
      </x:c>
    </x:row>
    <x:row r="266">
      <x:c r="A266" s="35" t="str">
        <x:v>WBF-056</x:v>
      </x:c>
      <x:c r="B266" s="35" t="str">
        <x:v>Ruizhe Wang</x:v>
      </x:c>
      <x:c r="C266" s="35" t="str"/>
      <x:c r="D266" s="35" t="str">
        <x:v>未核实中文写法（最佳猜测及依据见专表）</x:v>
      </x:c>
      <x:c r="E266" s="35" t="str">
        <x:v>2017-08-15—2017-08-24</x:v>
      </x:c>
      <x:c r="F266" s="35" t="str">
        <x:v>里昂，法国</x:v>
      </x:c>
      <x:c r="G266" s="35" t="str">
        <x:v>第5届世界青年公开锦标赛</x:v>
      </x:c>
      <x:c r="H266" s="35" t="str">
        <x:v>U16 Teams / Kids Teams</x:v>
      </x:c>
      <x:c r="I266" s="35" t="n">
        <x:v>3</x:v>
      </x:c>
      <x:c r="J266" s="35" t="str">
        <x:v>铜牌</x:v>
      </x:c>
      <x:c r="K266" s="35" t="str">
        <x:v>SHENGXING SATURN</x:v>
      </x:c>
      <x:c r="L266" s="35" t="str">
        <x:v>https://www.worldbridge.org/competitions/the-world-youth-transnational-bridge-championships/</x:v>
      </x:c>
    </x:row>
    <x:row r="267">
      <x:c r="A267" s="16" t="str">
        <x:v>WBF-056</x:v>
      </x:c>
      <x:c r="B267" s="16" t="str">
        <x:v>Yingqi Wang</x:v>
      </x:c>
      <x:c r="C267" s="16" t="str"/>
      <x:c r="D267" s="16" t="str">
        <x:v>未核实中文写法（最佳猜测及依据见专表）</x:v>
      </x:c>
      <x:c r="E267" s="16" t="str">
        <x:v>2017-08-15—2017-08-24</x:v>
      </x:c>
      <x:c r="F267" s="16" t="str">
        <x:v>里昂，法国</x:v>
      </x:c>
      <x:c r="G267" s="16" t="str">
        <x:v>第5届世界青年公开锦标赛</x:v>
      </x:c>
      <x:c r="H267" s="16" t="str">
        <x:v>U16 Teams / Kids Teams</x:v>
      </x:c>
      <x:c r="I267" s="16" t="n">
        <x:v>3</x:v>
      </x:c>
      <x:c r="J267" s="16" t="str">
        <x:v>铜牌</x:v>
      </x:c>
      <x:c r="K267" s="16" t="str">
        <x:v>SHENGXING SATURN</x:v>
      </x:c>
      <x:c r="L267" s="16" t="str">
        <x:v>https://www.worldbridge.org/competitions/the-world-youth-transnational-bridge-championships/</x:v>
      </x:c>
    </x:row>
    <x:row r="268">
      <x:c r="A268" s="35" t="str">
        <x:v>WBF-056</x:v>
      </x:c>
      <x:c r="B268" s="35" t="str">
        <x:v>Hao Xu</x:v>
      </x:c>
      <x:c r="C268" s="35" t="str"/>
      <x:c r="D268" s="35" t="str">
        <x:v>未核实中文写法（最佳猜测及依据见专表）</x:v>
      </x:c>
      <x:c r="E268" s="35" t="str">
        <x:v>2017-08-15—2017-08-24</x:v>
      </x:c>
      <x:c r="F268" s="35" t="str">
        <x:v>里昂，法国</x:v>
      </x:c>
      <x:c r="G268" s="35" t="str">
        <x:v>第5届世界青年公开锦标赛</x:v>
      </x:c>
      <x:c r="H268" s="35" t="str">
        <x:v>U16 Teams / Kids Teams</x:v>
      </x:c>
      <x:c r="I268" s="35" t="n">
        <x:v>3</x:v>
      </x:c>
      <x:c r="J268" s="35" t="str">
        <x:v>铜牌</x:v>
      </x:c>
      <x:c r="K268" s="35" t="str">
        <x:v>SHENGXING SATURN</x:v>
      </x:c>
      <x:c r="L268" s="35" t="str">
        <x:v>https://www.worldbridge.org/competitions/the-world-youth-transnational-bridge-championships/</x:v>
      </x:c>
    </x:row>
    <x:row r="269">
      <x:c r="A269" s="16" t="str">
        <x:v>WBF-056</x:v>
      </x:c>
      <x:c r="B269" s="16" t="str">
        <x:v>Jiahao Yang</x:v>
      </x:c>
      <x:c r="C269" s="16" t="str"/>
      <x:c r="D269" s="16" t="str">
        <x:v>未核实中文写法（最佳猜测及依据见专表）</x:v>
      </x:c>
      <x:c r="E269" s="16" t="str">
        <x:v>2017-08-15—2017-08-24</x:v>
      </x:c>
      <x:c r="F269" s="16" t="str">
        <x:v>里昂，法国</x:v>
      </x:c>
      <x:c r="G269" s="16" t="str">
        <x:v>第5届世界青年公开锦标赛</x:v>
      </x:c>
      <x:c r="H269" s="16" t="str">
        <x:v>U16 Teams / Kids Teams</x:v>
      </x:c>
      <x:c r="I269" s="16" t="n">
        <x:v>3</x:v>
      </x:c>
      <x:c r="J269" s="16" t="str">
        <x:v>铜牌</x:v>
      </x:c>
      <x:c r="K269" s="16" t="str">
        <x:v>SHENGXING SATURN</x:v>
      </x:c>
      <x:c r="L269" s="16" t="str">
        <x:v>https://www.worldbridge.org/competitions/the-world-youth-transnational-bridge-championships/</x:v>
      </x:c>
    </x:row>
    <x:row r="270">
      <x:c r="A270" s="35" t="str">
        <x:v>WBF-057</x:v>
      </x:c>
      <x:c r="B270" s="35" t="str">
        <x:v>Cheng Deng</x:v>
      </x:c>
      <x:c r="C270" s="35" t="str"/>
      <x:c r="D270" s="35" t="str">
        <x:v>未核实中文写法（最佳猜测及依据见专表）</x:v>
      </x:c>
      <x:c r="E270" s="35" t="str">
        <x:v>2017-08-15—2017-08-24</x:v>
      </x:c>
      <x:c r="F270" s="35" t="str">
        <x:v>里昂，法国</x:v>
      </x:c>
      <x:c r="G270" s="35" t="str">
        <x:v>第5届世界青年公开锦标赛</x:v>
      </x:c>
      <x:c r="H270" s="35" t="str">
        <x:v>U21 Pairs / Youngsters Pairs</x:v>
      </x:c>
      <x:c r="I270" s="35" t="n">
        <x:v>1</x:v>
      </x:c>
      <x:c r="J270" s="35" t="str">
        <x:v>金牌</x:v>
      </x:c>
      <x:c r="K270" s="35" t="str">
        <x:v>Cheng Deng – Zhijie Yuan</x:v>
      </x:c>
      <x:c r="L270" s="35" t="str">
        <x:v>https://db.worldbridge.org/repository/tourn/lyonyouth.17/microsite/Asp/TotalPairs.asp?qtournid=1455&amp;qroundno=3&amp;qgroupno=1</x:v>
      </x:c>
    </x:row>
    <x:row r="271">
      <x:c r="A271" s="16" t="str">
        <x:v>WBF-057</x:v>
      </x:c>
      <x:c r="B271" s="16" t="str">
        <x:v>Zhijie Yuan</x:v>
      </x:c>
      <x:c r="C271" s="16" t="str"/>
      <x:c r="D271" s="16" t="str">
        <x:v>未核实中文写法（最佳猜测及依据见专表）</x:v>
      </x:c>
      <x:c r="E271" s="16" t="str">
        <x:v>2017-08-15—2017-08-24</x:v>
      </x:c>
      <x:c r="F271" s="16" t="str">
        <x:v>里昂，法国</x:v>
      </x:c>
      <x:c r="G271" s="16" t="str">
        <x:v>第5届世界青年公开锦标赛</x:v>
      </x:c>
      <x:c r="H271" s="16" t="str">
        <x:v>U21 Pairs / Youngsters Pairs</x:v>
      </x:c>
      <x:c r="I271" s="16" t="n">
        <x:v>1</x:v>
      </x:c>
      <x:c r="J271" s="16" t="str">
        <x:v>金牌</x:v>
      </x:c>
      <x:c r="K271" s="16" t="str">
        <x:v>Cheng Deng – Zhijie Yuan</x:v>
      </x:c>
      <x:c r="L271" s="16" t="str">
        <x:v>https://db.worldbridge.org/repository/tourn/lyonyouth.17/microsite/Asp/TotalPairs.asp?qtournid=1455&amp;qroundno=3&amp;qgroupno=1</x:v>
      </x:c>
    </x:row>
    <x:row r="272">
      <x:c r="A272" s="35" t="str">
        <x:v>WBF-058</x:v>
      </x:c>
      <x:c r="B272" s="35" t="str">
        <x:v>Cheng Deng</x:v>
      </x:c>
      <x:c r="C272" s="35" t="str"/>
      <x:c r="D272" s="35" t="str">
        <x:v>未核实中文写法（最佳猜测及依据见专表）</x:v>
      </x:c>
      <x:c r="E272" s="35" t="str">
        <x:v>2017-08-15—2017-08-24</x:v>
      </x:c>
      <x:c r="F272" s="35" t="str">
        <x:v>里昂，法国</x:v>
      </x:c>
      <x:c r="G272" s="35" t="str">
        <x:v>第5届世界青年公开锦标赛</x:v>
      </x:c>
      <x:c r="H272" s="35" t="str">
        <x:v>U21 Teams / Youngsters Teams</x:v>
      </x:c>
      <x:c r="I272" s="35" t="n">
        <x:v>2</x:v>
      </x:c>
      <x:c r="J272" s="35" t="str">
        <x:v>银牌</x:v>
      </x:c>
      <x:c r="K272" s="35" t="str">
        <x:v>SHENGXING TEAM</x:v>
      </x:c>
      <x:c r="L272" s="35" t="str">
        <x:v>https://db.worldbridge.org/repository/tourn/lyonyouth.17/microsite/results.htm</x:v>
      </x:c>
    </x:row>
    <x:row r="273">
      <x:c r="A273" s="16" t="str">
        <x:v>WBF-058</x:v>
      </x:c>
      <x:c r="B273" s="16" t="str">
        <x:v>Yihong Liu</x:v>
      </x:c>
      <x:c r="C273" s="16" t="str"/>
      <x:c r="D273" s="16" t="str">
        <x:v>未核实中文写法（最佳猜测及依据见专表）</x:v>
      </x:c>
      <x:c r="E273" s="16" t="str">
        <x:v>2017-08-15—2017-08-24</x:v>
      </x:c>
      <x:c r="F273" s="16" t="str">
        <x:v>里昂，法国</x:v>
      </x:c>
      <x:c r="G273" s="16" t="str">
        <x:v>第5届世界青年公开锦标赛</x:v>
      </x:c>
      <x:c r="H273" s="16" t="str">
        <x:v>U21 Teams / Youngsters Teams</x:v>
      </x:c>
      <x:c r="I273" s="16" t="n">
        <x:v>2</x:v>
      </x:c>
      <x:c r="J273" s="16" t="str">
        <x:v>银牌</x:v>
      </x:c>
      <x:c r="K273" s="16" t="str">
        <x:v>SHENGXING TEAM</x:v>
      </x:c>
      <x:c r="L273" s="16" t="str">
        <x:v>https://db.worldbridge.org/repository/tourn/lyonyouth.17/microsite/results.htm</x:v>
      </x:c>
    </x:row>
    <x:row r="274">
      <x:c r="A274" s="35" t="str">
        <x:v>WBF-058</x:v>
      </x:c>
      <x:c r="B274" s="35" t="str">
        <x:v>Jiaxin Tong</x:v>
      </x:c>
      <x:c r="C274" s="35" t="str"/>
      <x:c r="D274" s="35" t="str">
        <x:v>未核实中文写法（最佳猜测及依据见专表）</x:v>
      </x:c>
      <x:c r="E274" s="35" t="str">
        <x:v>2017-08-15—2017-08-24</x:v>
      </x:c>
      <x:c r="F274" s="35" t="str">
        <x:v>里昂，法国</x:v>
      </x:c>
      <x:c r="G274" s="35" t="str">
        <x:v>第5届世界青年公开锦标赛</x:v>
      </x:c>
      <x:c r="H274" s="35" t="str">
        <x:v>U21 Teams / Youngsters Teams</x:v>
      </x:c>
      <x:c r="I274" s="35" t="n">
        <x:v>2</x:v>
      </x:c>
      <x:c r="J274" s="35" t="str">
        <x:v>银牌</x:v>
      </x:c>
      <x:c r="K274" s="35" t="str">
        <x:v>SHENGXING TEAM</x:v>
      </x:c>
      <x:c r="L274" s="35" t="str">
        <x:v>https://db.worldbridge.org/repository/tourn/lyonyouth.17/microsite/results.htm</x:v>
      </x:c>
    </x:row>
    <x:row r="275">
      <x:c r="A275" s="16" t="str">
        <x:v>WBF-058</x:v>
      </x:c>
      <x:c r="B275" s="16" t="str">
        <x:v>Zhijie Yuan</x:v>
      </x:c>
      <x:c r="C275" s="16" t="str"/>
      <x:c r="D275" s="16" t="str">
        <x:v>未核实中文写法（最佳猜测及依据见专表）</x:v>
      </x:c>
      <x:c r="E275" s="16" t="str">
        <x:v>2017-08-15—2017-08-24</x:v>
      </x:c>
      <x:c r="F275" s="16" t="str">
        <x:v>里昂，法国</x:v>
      </x:c>
      <x:c r="G275" s="16" t="str">
        <x:v>第5届世界青年公开锦标赛</x:v>
      </x:c>
      <x:c r="H275" s="16" t="str">
        <x:v>U21 Teams / Youngsters Teams</x:v>
      </x:c>
      <x:c r="I275" s="16" t="n">
        <x:v>2</x:v>
      </x:c>
      <x:c r="J275" s="16" t="str">
        <x:v>银牌</x:v>
      </x:c>
      <x:c r="K275" s="16" t="str">
        <x:v>SHENGXING TEAM</x:v>
      </x:c>
      <x:c r="L275" s="16" t="str">
        <x:v>https://db.worldbridge.org/repository/tourn/lyonyouth.17/microsite/results.htm</x:v>
      </x:c>
    </x:row>
    <x:row r="276">
      <x:c r="A276" s="35" t="str">
        <x:v>WBF-058</x:v>
      </x:c>
      <x:c r="B276" s="35" t="str">
        <x:v>Yu Yun</x:v>
      </x:c>
      <x:c r="C276" s="35" t="str"/>
      <x:c r="D276" s="35" t="str">
        <x:v>未核实中文写法（最佳猜测及依据见专表）</x:v>
      </x:c>
      <x:c r="E276" s="35" t="str">
        <x:v>2017-08-15—2017-08-24</x:v>
      </x:c>
      <x:c r="F276" s="35" t="str">
        <x:v>里昂，法国</x:v>
      </x:c>
      <x:c r="G276" s="35" t="str">
        <x:v>第5届世界青年公开锦标赛</x:v>
      </x:c>
      <x:c r="H276" s="35" t="str">
        <x:v>U21 Teams / Youngsters Teams</x:v>
      </x:c>
      <x:c r="I276" s="35" t="n">
        <x:v>2</x:v>
      </x:c>
      <x:c r="J276" s="35" t="str">
        <x:v>银牌</x:v>
      </x:c>
      <x:c r="K276" s="35" t="str">
        <x:v>SHENGXING TEAM</x:v>
      </x:c>
      <x:c r="L276" s="35" t="str">
        <x:v>https://db.worldbridge.org/repository/tourn/lyonyouth.17/microsite/results.htm</x:v>
      </x:c>
    </x:row>
    <x:row r="277">
      <x:c r="A277" s="16" t="str">
        <x:v>WBF-058</x:v>
      </x:c>
      <x:c r="B277" s="16" t="str">
        <x:v>Tiancheng Zhang</x:v>
      </x:c>
      <x:c r="C277" s="16" t="str"/>
      <x:c r="D277" s="16" t="str">
        <x:v>未核实中文写法（最佳猜测及依据见专表）</x:v>
      </x:c>
      <x:c r="E277" s="16" t="str">
        <x:v>2017-08-15—2017-08-24</x:v>
      </x:c>
      <x:c r="F277" s="16" t="str">
        <x:v>里昂，法国</x:v>
      </x:c>
      <x:c r="G277" s="16" t="str">
        <x:v>第5届世界青年公开锦标赛</x:v>
      </x:c>
      <x:c r="H277" s="16" t="str">
        <x:v>U21 Teams / Youngsters Teams</x:v>
      </x:c>
      <x:c r="I277" s="16" t="n">
        <x:v>2</x:v>
      </x:c>
      <x:c r="J277" s="16" t="str">
        <x:v>银牌</x:v>
      </x:c>
      <x:c r="K277" s="16" t="str">
        <x:v>SHENGXING TEAM</x:v>
      </x:c>
      <x:c r="L277" s="16" t="str">
        <x:v>https://db.worldbridge.org/repository/tourn/lyonyouth.17/microsite/results.htm</x:v>
      </x:c>
    </x:row>
    <x:row r="278">
      <x:c r="A278" s="35" t="str">
        <x:v>WBF-059</x:v>
      </x:c>
      <x:c r="B278" s="35" t="str">
        <x:v>Zhiyu Cheng</x:v>
      </x:c>
      <x:c r="C278" s="35" t="str"/>
      <x:c r="D278" s="35" t="str">
        <x:v>未核实中文写法（最佳猜测及依据见专表）</x:v>
      </x:c>
      <x:c r="E278" s="35" t="str">
        <x:v>2017-08-15—2017-08-24</x:v>
      </x:c>
      <x:c r="F278" s="35" t="str">
        <x:v>里昂，法国</x:v>
      </x:c>
      <x:c r="G278" s="35" t="str">
        <x:v>第5届世界青年公开锦标赛</x:v>
      </x:c>
      <x:c r="H278" s="35" t="str">
        <x:v>U21 Teams / Youngsters Teams</x:v>
      </x:c>
      <x:c r="I278" s="35" t="n">
        <x:v>3</x:v>
      </x:c>
      <x:c r="J278" s="35" t="str">
        <x:v>铜牌</x:v>
      </x:c>
      <x:c r="K278" s="35" t="str">
        <x:v>CHINA</x:v>
      </x:c>
      <x:c r="L278" s="35" t="str">
        <x:v>https://db.worldbridge.org/repository/tourn/lyonyouth.17/microsite/results.htm</x:v>
      </x:c>
    </x:row>
    <x:row r="279">
      <x:c r="A279" s="16" t="str">
        <x:v>WBF-059</x:v>
      </x:c>
      <x:c r="B279" s="16" t="str">
        <x:v>Baozhuo Jiang</x:v>
      </x:c>
      <x:c r="C279" s="16" t="str"/>
      <x:c r="D279" s="16" t="str">
        <x:v>未核实中文写法（最佳猜测及依据见专表）</x:v>
      </x:c>
      <x:c r="E279" s="16" t="str">
        <x:v>2017-08-15—2017-08-24</x:v>
      </x:c>
      <x:c r="F279" s="16" t="str">
        <x:v>里昂，法国</x:v>
      </x:c>
      <x:c r="G279" s="16" t="str">
        <x:v>第5届世界青年公开锦标赛</x:v>
      </x:c>
      <x:c r="H279" s="16" t="str">
        <x:v>U21 Teams / Youngsters Teams</x:v>
      </x:c>
      <x:c r="I279" s="16" t="n">
        <x:v>3</x:v>
      </x:c>
      <x:c r="J279" s="16" t="str">
        <x:v>铜牌</x:v>
      </x:c>
      <x:c r="K279" s="16" t="str">
        <x:v>CHINA</x:v>
      </x:c>
      <x:c r="L279" s="16" t="str">
        <x:v>https://db.worldbridge.org/repository/tourn/lyonyouth.17/microsite/results.htm</x:v>
      </x:c>
    </x:row>
    <x:row r="280">
      <x:c r="A280" s="35" t="str">
        <x:v>WBF-059</x:v>
      </x:c>
      <x:c r="B280" s="35" t="str">
        <x:v>Randy Pan</x:v>
      </x:c>
      <x:c r="C280" s="35" t="str"/>
      <x:c r="D280" s="35" t="str">
        <x:v>未核实中文写法（最佳猜测及依据见专表）</x:v>
      </x:c>
      <x:c r="E280" s="35" t="str">
        <x:v>2017-08-15—2017-08-24</x:v>
      </x:c>
      <x:c r="F280" s="35" t="str">
        <x:v>里昂，法国</x:v>
      </x:c>
      <x:c r="G280" s="35" t="str">
        <x:v>第5届世界青年公开锦标赛</x:v>
      </x:c>
      <x:c r="H280" s="35" t="str">
        <x:v>U21 Teams / Youngsters Teams</x:v>
      </x:c>
      <x:c r="I280" s="35" t="n">
        <x:v>3</x:v>
      </x:c>
      <x:c r="J280" s="35" t="str">
        <x:v>铜牌</x:v>
      </x:c>
      <x:c r="K280" s="35" t="str">
        <x:v>CHINA</x:v>
      </x:c>
      <x:c r="L280" s="35" t="str">
        <x:v>https://db.worldbridge.org/repository/tourn/lyonyouth.17/microsite/results.htm</x:v>
      </x:c>
    </x:row>
    <x:row r="281">
      <x:c r="A281" s="16" t="str">
        <x:v>WBF-059</x:v>
      </x:c>
      <x:c r="B281" s="16" t="str">
        <x:v>Shi Qiu</x:v>
      </x:c>
      <x:c r="C281" s="16" t="str"/>
      <x:c r="D281" s="16" t="str">
        <x:v>未核实中文写法（最佳猜测及依据见专表）</x:v>
      </x:c>
      <x:c r="E281" s="16" t="str">
        <x:v>2017-08-15—2017-08-24</x:v>
      </x:c>
      <x:c r="F281" s="16" t="str">
        <x:v>里昂，法国</x:v>
      </x:c>
      <x:c r="G281" s="16" t="str">
        <x:v>第5届世界青年公开锦标赛</x:v>
      </x:c>
      <x:c r="H281" s="16" t="str">
        <x:v>U21 Teams / Youngsters Teams</x:v>
      </x:c>
      <x:c r="I281" s="16" t="n">
        <x:v>3</x:v>
      </x:c>
      <x:c r="J281" s="16" t="str">
        <x:v>铜牌</x:v>
      </x:c>
      <x:c r="K281" s="16" t="str">
        <x:v>CHINA</x:v>
      </x:c>
      <x:c r="L281" s="16" t="str">
        <x:v>https://db.worldbridge.org/repository/tourn/lyonyouth.17/microsite/results.htm</x:v>
      </x:c>
    </x:row>
    <x:row r="282">
      <x:c r="A282" s="35" t="str">
        <x:v>WBF-059</x:v>
      </x:c>
      <x:c r="B282" s="35" t="str">
        <x:v>Xihao Wang</x:v>
      </x:c>
      <x:c r="C282" s="35" t="str"/>
      <x:c r="D282" s="35" t="str">
        <x:v>未核实中文写法（最佳猜测及依据见专表）</x:v>
      </x:c>
      <x:c r="E282" s="35" t="str">
        <x:v>2017-08-15—2017-08-24</x:v>
      </x:c>
      <x:c r="F282" s="35" t="str">
        <x:v>里昂，法国</x:v>
      </x:c>
      <x:c r="G282" s="35" t="str">
        <x:v>第5届世界青年公开锦标赛</x:v>
      </x:c>
      <x:c r="H282" s="35" t="str">
        <x:v>U21 Teams / Youngsters Teams</x:v>
      </x:c>
      <x:c r="I282" s="35" t="n">
        <x:v>3</x:v>
      </x:c>
      <x:c r="J282" s="35" t="str">
        <x:v>铜牌</x:v>
      </x:c>
      <x:c r="K282" s="35" t="str">
        <x:v>CHINA</x:v>
      </x:c>
      <x:c r="L282" s="35" t="str">
        <x:v>https://db.worldbridge.org/repository/tourn/lyonyouth.17/microsite/results.htm</x:v>
      </x:c>
    </x:row>
    <x:row r="283">
      <x:c r="A283" s="16" t="str">
        <x:v>WBF-059</x:v>
      </x:c>
      <x:c r="B283" s="16" t="str">
        <x:v>Haoqing Yu</x:v>
      </x:c>
      <x:c r="C283" s="16" t="str"/>
      <x:c r="D283" s="16" t="str">
        <x:v>未核实中文写法（最佳猜测及依据见专表）</x:v>
      </x:c>
      <x:c r="E283" s="16" t="str">
        <x:v>2017-08-15—2017-08-24</x:v>
      </x:c>
      <x:c r="F283" s="16" t="str">
        <x:v>里昂，法国</x:v>
      </x:c>
      <x:c r="G283" s="16" t="str">
        <x:v>第5届世界青年公开锦标赛</x:v>
      </x:c>
      <x:c r="H283" s="16" t="str">
        <x:v>U21 Teams / Youngsters Teams</x:v>
      </x:c>
      <x:c r="I283" s="16" t="n">
        <x:v>3</x:v>
      </x:c>
      <x:c r="J283" s="16" t="str">
        <x:v>铜牌</x:v>
      </x:c>
      <x:c r="K283" s="16" t="str">
        <x:v>CHINA</x:v>
      </x:c>
      <x:c r="L283" s="16" t="str">
        <x:v>https://db.worldbridge.org/repository/tourn/lyonyouth.17/microsite/results.htm</x:v>
      </x:c>
    </x:row>
    <x:row r="284">
      <x:c r="A284" s="35" t="str">
        <x:v>WBF-060</x:v>
      </x:c>
      <x:c r="B284" s="35" t="str">
        <x:v>Yunpeng Chen</x:v>
      </x:c>
      <x:c r="C284" s="35" t="str"/>
      <x:c r="D284" s="35" t="str">
        <x:v>未核实中文写法（最佳猜测及依据见专表）</x:v>
      </x:c>
      <x:c r="E284" s="35" t="str">
        <x:v>2017-08-15—2017-08-24</x:v>
      </x:c>
      <x:c r="F284" s="35" t="str">
        <x:v>里昂，法国</x:v>
      </x:c>
      <x:c r="G284" s="35" t="str">
        <x:v>第5届世界青年公开锦标赛</x:v>
      </x:c>
      <x:c r="H284" s="35" t="str">
        <x:v>U26 Women Pairs / Girls Pairs</x:v>
      </x:c>
      <x:c r="I284" s="35" t="n">
        <x:v>2</x:v>
      </x:c>
      <x:c r="J284" s="35" t="str">
        <x:v>银牌</x:v>
      </x:c>
      <x:c r="K284" s="35" t="str">
        <x:v>Yunpeng Chen – Jiaming Xu</x:v>
      </x:c>
      <x:c r="L284" s="35" t="str">
        <x:v>https://db.worldbridge.org/repository/tourn/lyonyouth.17/microsite/Asp/TotalPairs.asp?qtournid=1456&amp;qroundno=3&amp;qgroupno=1</x:v>
      </x:c>
    </x:row>
    <x:row r="285">
      <x:c r="A285" s="16" t="str">
        <x:v>WBF-060</x:v>
      </x:c>
      <x:c r="B285" s="16" t="str">
        <x:v>Jiaming Xu</x:v>
      </x:c>
      <x:c r="C285" s="16" t="str"/>
      <x:c r="D285" s="16" t="str">
        <x:v>未核实中文写法（最佳猜测及依据见专表）</x:v>
      </x:c>
      <x:c r="E285" s="16" t="str">
        <x:v>2017-08-15—2017-08-24</x:v>
      </x:c>
      <x:c r="F285" s="16" t="str">
        <x:v>里昂，法国</x:v>
      </x:c>
      <x:c r="G285" s="16" t="str">
        <x:v>第5届世界青年公开锦标赛</x:v>
      </x:c>
      <x:c r="H285" s="16" t="str">
        <x:v>U26 Women Pairs / Girls Pairs</x:v>
      </x:c>
      <x:c r="I285" s="16" t="n">
        <x:v>2</x:v>
      </x:c>
      <x:c r="J285" s="16" t="str">
        <x:v>银牌</x:v>
      </x:c>
      <x:c r="K285" s="16" t="str">
        <x:v>Yunpeng Chen – Jiaming Xu</x:v>
      </x:c>
      <x:c r="L285" s="16" t="str">
        <x:v>https://db.worldbridge.org/repository/tourn/lyonyouth.17/microsite/Asp/TotalPairs.asp?qtournid=1456&amp;qroundno=3&amp;qgroupno=1</x:v>
      </x:c>
    </x:row>
    <x:row r="286">
      <x:c r="A286" s="35" t="str">
        <x:v>WBF-061</x:v>
      </x:c>
      <x:c r="B286" s="35" t="str">
        <x:v>Xinyao Ruan</x:v>
      </x:c>
      <x:c r="C286" s="35" t="str"/>
      <x:c r="D286" s="35" t="str">
        <x:v>未核实中文写法（最佳猜测及依据见专表）</x:v>
      </x:c>
      <x:c r="E286" s="35" t="str">
        <x:v>2017-08-15—2017-08-24</x:v>
      </x:c>
      <x:c r="F286" s="35" t="str">
        <x:v>里昂，法国</x:v>
      </x:c>
      <x:c r="G286" s="35" t="str">
        <x:v>第5届世界青年公开锦标赛</x:v>
      </x:c>
      <x:c r="H286" s="35" t="str">
        <x:v>U26 Women Pairs / Girls Pairs</x:v>
      </x:c>
      <x:c r="I286" s="35" t="n">
        <x:v>3</x:v>
      </x:c>
      <x:c r="J286" s="35" t="str">
        <x:v>铜牌</x:v>
      </x:c>
      <x:c r="K286" s="35" t="str">
        <x:v>Xinyao Ruan – Yajie Lu</x:v>
      </x:c>
      <x:c r="L286" s="35" t="str">
        <x:v>https://db.worldbridge.org/repository/tourn/lyonyouth.17/microsite/Asp/TotalPairs.asp?qtournid=1456&amp;qroundno=3&amp;qgroupno=1</x:v>
      </x:c>
    </x:row>
    <x:row r="287">
      <x:c r="A287" s="16" t="str">
        <x:v>WBF-061</x:v>
      </x:c>
      <x:c r="B287" s="16" t="str">
        <x:v>Yajie Lu</x:v>
      </x:c>
      <x:c r="C287" s="16" t="str"/>
      <x:c r="D287" s="16" t="str">
        <x:v>未核实中文写法（最佳猜测及依据见专表）</x:v>
      </x:c>
      <x:c r="E287" s="16" t="str">
        <x:v>2017-08-15—2017-08-24</x:v>
      </x:c>
      <x:c r="F287" s="16" t="str">
        <x:v>里昂，法国</x:v>
      </x:c>
      <x:c r="G287" s="16" t="str">
        <x:v>第5届世界青年公开锦标赛</x:v>
      </x:c>
      <x:c r="H287" s="16" t="str">
        <x:v>U26 Women Pairs / Girls Pairs</x:v>
      </x:c>
      <x:c r="I287" s="16" t="n">
        <x:v>3</x:v>
      </x:c>
      <x:c r="J287" s="16" t="str">
        <x:v>铜牌</x:v>
      </x:c>
      <x:c r="K287" s="16" t="str">
        <x:v>Xinyao Ruan – Yajie Lu</x:v>
      </x:c>
      <x:c r="L287" s="16" t="str">
        <x:v>https://db.worldbridge.org/repository/tourn/lyonyouth.17/microsite/Asp/TotalPairs.asp?qtournid=1456&amp;qroundno=3&amp;qgroupno=1</x:v>
      </x:c>
    </x:row>
    <x:row r="288">
      <x:c r="A288" s="35" t="str">
        <x:v>WBF-062</x:v>
      </x:c>
      <x:c r="B288" s="35" t="str">
        <x:v>Yunpeng Chen</x:v>
      </x:c>
      <x:c r="C288" s="35" t="str"/>
      <x:c r="D288" s="35" t="str">
        <x:v>未核实中文写法（最佳猜测及依据见专表）</x:v>
      </x:c>
      <x:c r="E288" s="35" t="str">
        <x:v>2017-08-15—2017-08-24</x:v>
      </x:c>
      <x:c r="F288" s="35" t="str">
        <x:v>里昂，法国</x:v>
      </x:c>
      <x:c r="G288" s="35" t="str">
        <x:v>第5届世界青年公开锦标赛</x:v>
      </x:c>
      <x:c r="H288" s="35" t="str">
        <x:v>U26 Women Teams / Girls Teams</x:v>
      </x:c>
      <x:c r="I288" s="35" t="n">
        <x:v>1</x:v>
      </x:c>
      <x:c r="J288" s="35" t="str">
        <x:v>金牌</x:v>
      </x:c>
      <x:c r="K288" s="35" t="str">
        <x:v>SHENGXING TEAM 1</x:v>
      </x:c>
      <x:c r="L288" s="35" t="str">
        <x:v>https://db.worldbridge.org/repository/tourn/lyonyouth.17/microsite/Asp/knockoutphase.asp?qtournid=1460&amp;qphase=FF</x:v>
      </x:c>
    </x:row>
    <x:row r="289">
      <x:c r="A289" s="16" t="str">
        <x:v>WBF-062</x:v>
      </x:c>
      <x:c r="B289" s="16" t="str">
        <x:v>Chenyun Ge</x:v>
      </x:c>
      <x:c r="C289" s="16" t="str"/>
      <x:c r="D289" s="16" t="str">
        <x:v>未核实中文写法（最佳猜测及依据见专表）</x:v>
      </x:c>
      <x:c r="E289" s="16" t="str">
        <x:v>2017-08-15—2017-08-24</x:v>
      </x:c>
      <x:c r="F289" s="16" t="str">
        <x:v>里昂，法国</x:v>
      </x:c>
      <x:c r="G289" s="16" t="str">
        <x:v>第5届世界青年公开锦标赛</x:v>
      </x:c>
      <x:c r="H289" s="16" t="str">
        <x:v>U26 Women Teams / Girls Teams</x:v>
      </x:c>
      <x:c r="I289" s="16" t="n">
        <x:v>1</x:v>
      </x:c>
      <x:c r="J289" s="16" t="str">
        <x:v>金牌</x:v>
      </x:c>
      <x:c r="K289" s="16" t="str">
        <x:v>SHENGXING TEAM 1</x:v>
      </x:c>
      <x:c r="L289" s="16" t="str">
        <x:v>https://db.worldbridge.org/repository/tourn/lyonyouth.17/microsite/Asp/knockoutphase.asp?qtournid=1460&amp;qphase=FF</x:v>
      </x:c>
    </x:row>
    <x:row r="290">
      <x:c r="A290" s="35" t="str">
        <x:v>WBF-062</x:v>
      </x:c>
      <x:c r="B290" s="35" t="str">
        <x:v>Yajie Lu</x:v>
      </x:c>
      <x:c r="C290" s="35" t="str"/>
      <x:c r="D290" s="35" t="str">
        <x:v>未核实中文写法（最佳猜测及依据见专表）</x:v>
      </x:c>
      <x:c r="E290" s="35" t="str">
        <x:v>2017-08-15—2017-08-24</x:v>
      </x:c>
      <x:c r="F290" s="35" t="str">
        <x:v>里昂，法国</x:v>
      </x:c>
      <x:c r="G290" s="35" t="str">
        <x:v>第5届世界青年公开锦标赛</x:v>
      </x:c>
      <x:c r="H290" s="35" t="str">
        <x:v>U26 Women Teams / Girls Teams</x:v>
      </x:c>
      <x:c r="I290" s="35" t="n">
        <x:v>1</x:v>
      </x:c>
      <x:c r="J290" s="35" t="str">
        <x:v>金牌</x:v>
      </x:c>
      <x:c r="K290" s="35" t="str">
        <x:v>SHENGXING TEAM 1</x:v>
      </x:c>
      <x:c r="L290" s="35" t="str">
        <x:v>https://db.worldbridge.org/repository/tourn/lyonyouth.17/microsite/Asp/knockoutphase.asp?qtournid=1460&amp;qphase=FF</x:v>
      </x:c>
    </x:row>
    <x:row r="291">
      <x:c r="A291" s="16" t="str">
        <x:v>WBF-062</x:v>
      </x:c>
      <x:c r="B291" s="16" t="str">
        <x:v>Yijia Lu</x:v>
      </x:c>
      <x:c r="C291" s="16" t="str"/>
      <x:c r="D291" s="16" t="str">
        <x:v>未核实中文写法（最佳猜测及依据见专表）</x:v>
      </x:c>
      <x:c r="E291" s="16" t="str">
        <x:v>2017-08-15—2017-08-24</x:v>
      </x:c>
      <x:c r="F291" s="16" t="str">
        <x:v>里昂，法国</x:v>
      </x:c>
      <x:c r="G291" s="16" t="str">
        <x:v>第5届世界青年公开锦标赛</x:v>
      </x:c>
      <x:c r="H291" s="16" t="str">
        <x:v>U26 Women Teams / Girls Teams</x:v>
      </x:c>
      <x:c r="I291" s="16" t="n">
        <x:v>1</x:v>
      </x:c>
      <x:c r="J291" s="16" t="str">
        <x:v>金牌</x:v>
      </x:c>
      <x:c r="K291" s="16" t="str">
        <x:v>SHENGXING TEAM 1</x:v>
      </x:c>
      <x:c r="L291" s="16" t="str">
        <x:v>https://db.worldbridge.org/repository/tourn/lyonyouth.17/microsite/Asp/knockoutphase.asp?qtournid=1460&amp;qphase=FF</x:v>
      </x:c>
    </x:row>
    <x:row r="292">
      <x:c r="A292" s="35" t="str">
        <x:v>WBF-062</x:v>
      </x:c>
      <x:c r="B292" s="35" t="str">
        <x:v>Xinyao Ruan</x:v>
      </x:c>
      <x:c r="C292" s="35" t="str"/>
      <x:c r="D292" s="35" t="str">
        <x:v>未核实中文写法（最佳猜测及依据见专表）</x:v>
      </x:c>
      <x:c r="E292" s="35" t="str">
        <x:v>2017-08-15—2017-08-24</x:v>
      </x:c>
      <x:c r="F292" s="35" t="str">
        <x:v>里昂，法国</x:v>
      </x:c>
      <x:c r="G292" s="35" t="str">
        <x:v>第5届世界青年公开锦标赛</x:v>
      </x:c>
      <x:c r="H292" s="35" t="str">
        <x:v>U26 Women Teams / Girls Teams</x:v>
      </x:c>
      <x:c r="I292" s="35" t="n">
        <x:v>1</x:v>
      </x:c>
      <x:c r="J292" s="35" t="str">
        <x:v>金牌</x:v>
      </x:c>
      <x:c r="K292" s="35" t="str">
        <x:v>SHENGXING TEAM 1</x:v>
      </x:c>
      <x:c r="L292" s="35" t="str">
        <x:v>https://db.worldbridge.org/repository/tourn/lyonyouth.17/microsite/Asp/knockoutphase.asp?qtournid=1460&amp;qphase=FF</x:v>
      </x:c>
    </x:row>
    <x:row r="293">
      <x:c r="A293" s="16" t="str">
        <x:v>WBF-062</x:v>
      </x:c>
      <x:c r="B293" s="16" t="str">
        <x:v>Jiaming Xu</x:v>
      </x:c>
      <x:c r="C293" s="16" t="str"/>
      <x:c r="D293" s="16" t="str">
        <x:v>未核实中文写法（最佳猜测及依据见专表）</x:v>
      </x:c>
      <x:c r="E293" s="16" t="str">
        <x:v>2017-08-15—2017-08-24</x:v>
      </x:c>
      <x:c r="F293" s="16" t="str">
        <x:v>里昂，法国</x:v>
      </x:c>
      <x:c r="G293" s="16" t="str">
        <x:v>第5届世界青年公开锦标赛</x:v>
      </x:c>
      <x:c r="H293" s="16" t="str">
        <x:v>U26 Women Teams / Girls Teams</x:v>
      </x:c>
      <x:c r="I293" s="16" t="n">
        <x:v>1</x:v>
      </x:c>
      <x:c r="J293" s="16" t="str">
        <x:v>金牌</x:v>
      </x:c>
      <x:c r="K293" s="16" t="str">
        <x:v>SHENGXING TEAM 1</x:v>
      </x:c>
      <x:c r="L293" s="16" t="str">
        <x:v>https://db.worldbridge.org/repository/tourn/lyonyouth.17/microsite/Asp/knockoutphase.asp?qtournid=1460&amp;qphase=FF</x:v>
      </x:c>
    </x:row>
    <x:row r="294">
      <x:c r="A294" s="35" t="str">
        <x:v>WBF-063</x:v>
      </x:c>
      <x:c r="B294" s="35" t="str">
        <x:v>Yueling Gu</x:v>
      </x:c>
      <x:c r="C294" s="35" t="str"/>
      <x:c r="D294" s="35" t="str">
        <x:v>未核实中文写法（最佳猜测及依据见专表）</x:v>
      </x:c>
      <x:c r="E294" s="35" t="str">
        <x:v>2017-08-15—2017-08-24</x:v>
      </x:c>
      <x:c r="F294" s="35" t="str">
        <x:v>里昂，法国</x:v>
      </x:c>
      <x:c r="G294" s="35" t="str">
        <x:v>第5届世界青年公开锦标赛</x:v>
      </x:c>
      <x:c r="H294" s="35" t="str">
        <x:v>U26 Women Teams / Girls Teams</x:v>
      </x:c>
      <x:c r="I294" s="35" t="n">
        <x:v>3</x:v>
      </x:c>
      <x:c r="J294" s="35" t="str">
        <x:v>铜牌</x:v>
      </x:c>
      <x:c r="K294" s="35" t="str">
        <x:v>SH XIN JIANGNAN TEAM</x:v>
      </x:c>
      <x:c r="L294" s="35" t="str">
        <x:v>https://db.worldbridge.org/repository/tourn/lyonyouth.17/microsite/Asp/knockoutphase.asp?qtournid=1460&amp;qphase=FF</x:v>
      </x:c>
    </x:row>
    <x:row r="295">
      <x:c r="A295" s="16" t="str">
        <x:v>WBF-063</x:v>
      </x:c>
      <x:c r="B295" s="16" t="str">
        <x:v>Shiyi Li</x:v>
      </x:c>
      <x:c r="C295" s="16" t="str"/>
      <x:c r="D295" s="16" t="str">
        <x:v>未核实中文写法（最佳猜测及依据见专表）</x:v>
      </x:c>
      <x:c r="E295" s="16" t="str">
        <x:v>2017-08-15—2017-08-24</x:v>
      </x:c>
      <x:c r="F295" s="16" t="str">
        <x:v>里昂，法国</x:v>
      </x:c>
      <x:c r="G295" s="16" t="str">
        <x:v>第5届世界青年公开锦标赛</x:v>
      </x:c>
      <x:c r="H295" s="16" t="str">
        <x:v>U26 Women Teams / Girls Teams</x:v>
      </x:c>
      <x:c r="I295" s="16" t="n">
        <x:v>3</x:v>
      </x:c>
      <x:c r="J295" s="16" t="str">
        <x:v>铜牌</x:v>
      </x:c>
      <x:c r="K295" s="16" t="str">
        <x:v>SH XIN JIANGNAN TEAM</x:v>
      </x:c>
      <x:c r="L295" s="16" t="str">
        <x:v>https://db.worldbridge.org/repository/tourn/lyonyouth.17/microsite/Asp/knockoutphase.asp?qtournid=1460&amp;qphase=FF</x:v>
      </x:c>
    </x:row>
    <x:row r="296">
      <x:c r="A296" s="35" t="str">
        <x:v>WBF-063</x:v>
      </x:c>
      <x:c r="B296" s="35" t="str">
        <x:v>Shiyun Mao</x:v>
      </x:c>
      <x:c r="C296" s="35" t="str"/>
      <x:c r="D296" s="35" t="str">
        <x:v>未核实中文写法（最佳猜测及依据见专表）</x:v>
      </x:c>
      <x:c r="E296" s="35" t="str">
        <x:v>2017-08-15—2017-08-24</x:v>
      </x:c>
      <x:c r="F296" s="35" t="str">
        <x:v>里昂，法国</x:v>
      </x:c>
      <x:c r="G296" s="35" t="str">
        <x:v>第5届世界青年公开锦标赛</x:v>
      </x:c>
      <x:c r="H296" s="35" t="str">
        <x:v>U26 Women Teams / Girls Teams</x:v>
      </x:c>
      <x:c r="I296" s="35" t="n">
        <x:v>3</x:v>
      </x:c>
      <x:c r="J296" s="35" t="str">
        <x:v>铜牌</x:v>
      </x:c>
      <x:c r="K296" s="35" t="str">
        <x:v>SH XIN JIANGNAN TEAM</x:v>
      </x:c>
      <x:c r="L296" s="35" t="str">
        <x:v>https://db.worldbridge.org/repository/tourn/lyonyouth.17/microsite/Asp/knockoutphase.asp?qtournid=1460&amp;qphase=FF</x:v>
      </x:c>
    </x:row>
    <x:row r="297">
      <x:c r="A297" s="16" t="str">
        <x:v>WBF-063</x:v>
      </x:c>
      <x:c r="B297" s="16" t="str">
        <x:v>Yanting Mao</x:v>
      </x:c>
      <x:c r="C297" s="16" t="str"/>
      <x:c r="D297" s="16" t="str">
        <x:v>未核实中文写法（最佳猜测及依据见专表）</x:v>
      </x:c>
      <x:c r="E297" s="16" t="str">
        <x:v>2017-08-15—2017-08-24</x:v>
      </x:c>
      <x:c r="F297" s="16" t="str">
        <x:v>里昂，法国</x:v>
      </x:c>
      <x:c r="G297" s="16" t="str">
        <x:v>第5届世界青年公开锦标赛</x:v>
      </x:c>
      <x:c r="H297" s="16" t="str">
        <x:v>U26 Women Teams / Girls Teams</x:v>
      </x:c>
      <x:c r="I297" s="16" t="n">
        <x:v>3</x:v>
      </x:c>
      <x:c r="J297" s="16" t="str">
        <x:v>铜牌</x:v>
      </x:c>
      <x:c r="K297" s="16" t="str">
        <x:v>SH XIN JIANGNAN TEAM</x:v>
      </x:c>
      <x:c r="L297" s="16" t="str">
        <x:v>https://db.worldbridge.org/repository/tourn/lyonyouth.17/microsite/Asp/knockoutphase.asp?qtournid=1460&amp;qphase=FF</x:v>
      </x:c>
    </x:row>
    <x:row r="298">
      <x:c r="A298" s="35" t="str">
        <x:v>WBF-063</x:v>
      </x:c>
      <x:c r="B298" s="35" t="str">
        <x:v>Yici Wang</x:v>
      </x:c>
      <x:c r="C298" s="35" t="str"/>
      <x:c r="D298" s="35" t="str">
        <x:v>未核实中文写法（最佳猜测及依据见专表）</x:v>
      </x:c>
      <x:c r="E298" s="35" t="str">
        <x:v>2017-08-15—2017-08-24</x:v>
      </x:c>
      <x:c r="F298" s="35" t="str">
        <x:v>里昂，法国</x:v>
      </x:c>
      <x:c r="G298" s="35" t="str">
        <x:v>第5届世界青年公开锦标赛</x:v>
      </x:c>
      <x:c r="H298" s="35" t="str">
        <x:v>U26 Women Teams / Girls Teams</x:v>
      </x:c>
      <x:c r="I298" s="35" t="n">
        <x:v>3</x:v>
      </x:c>
      <x:c r="J298" s="35" t="str">
        <x:v>铜牌</x:v>
      </x:c>
      <x:c r="K298" s="35" t="str">
        <x:v>SH XIN JIANGNAN TEAM</x:v>
      </x:c>
      <x:c r="L298" s="35" t="str">
        <x:v>https://db.worldbridge.org/repository/tourn/lyonyouth.17/microsite/Asp/knockoutphase.asp?qtournid=1460&amp;qphase=FF</x:v>
      </x:c>
    </x:row>
    <x:row r="299">
      <x:c r="A299" s="16" t="str">
        <x:v>WBF-063</x:v>
      </x:c>
      <x:c r="B299" s="16" t="str">
        <x:v>Xiaotong Wu</x:v>
      </x:c>
      <x:c r="C299" s="16" t="str"/>
      <x:c r="D299" s="16" t="str">
        <x:v>未核实中文写法（最佳猜测及依据见专表）</x:v>
      </x:c>
      <x:c r="E299" s="16" t="str">
        <x:v>2017-08-15—2017-08-24</x:v>
      </x:c>
      <x:c r="F299" s="16" t="str">
        <x:v>里昂，法国</x:v>
      </x:c>
      <x:c r="G299" s="16" t="str">
        <x:v>第5届世界青年公开锦标赛</x:v>
      </x:c>
      <x:c r="H299" s="16" t="str">
        <x:v>U26 Women Teams / Girls Teams</x:v>
      </x:c>
      <x:c r="I299" s="16" t="n">
        <x:v>3</x:v>
      </x:c>
      <x:c r="J299" s="16" t="str">
        <x:v>铜牌</x:v>
      </x:c>
      <x:c r="K299" s="16" t="str">
        <x:v>SH XIN JIANGNAN TEAM</x:v>
      </x:c>
      <x:c r="L299" s="16" t="str">
        <x:v>https://db.worldbridge.org/repository/tourn/lyonyouth.17/microsite/Asp/knockoutphase.asp?qtournid=1460&amp;qphase=FF</x:v>
      </x:c>
    </x:row>
    <x:row r="300">
      <x:c r="A300" s="35" t="str">
        <x:v>WBF-064</x:v>
      </x:c>
      <x:c r="B300" s="35" t="str">
        <x:v>Yan Huang</x:v>
      </x:c>
      <x:c r="C300" s="35" t="str"/>
      <x:c r="D300" s="35" t="str">
        <x:v>未核实中文写法（最佳猜测及依据见专表）</x:v>
      </x:c>
      <x:c r="E300" s="35" t="str">
        <x:v>2018</x:v>
      </x:c>
      <x:c r="F300" s="35" t="str">
        <x:v>奥兰多，美国</x:v>
      </x:c>
      <x:c r="G300" s="35" t="str">
        <x:v>世界桥牌综合锦标赛</x:v>
      </x:c>
      <x:c r="H300" s="35" t="str">
        <x:v>Women Pairs 女子双人</x:v>
      </x:c>
      <x:c r="I300" s="35" t="n">
        <x:v>3</x:v>
      </x:c>
      <x:c r="J300" s="35" t="str">
        <x:v>铜牌</x:v>
      </x:c>
      <x:c r="K300" s="35" t="str">
        <x:v>Yan Huang – Nan Wang</x:v>
      </x:c>
      <x:c r="L300" s="35" t="str">
        <x:v>https://www.wbfmasterpoints.com/Medalsreport.asp</x:v>
      </x:c>
    </x:row>
    <x:row r="301">
      <x:c r="A301" s="16" t="str">
        <x:v>WBF-064</x:v>
      </x:c>
      <x:c r="B301" s="16" t="str">
        <x:v>Nan Wang</x:v>
      </x:c>
      <x:c r="C301" s="16" t="str">
        <x:v>王南</x:v>
      </x:c>
      <x:c r="D301" s="16" t="str">
        <x:v>已由中文报道核对</x:v>
      </x:c>
      <x:c r="E301" s="16" t="str">
        <x:v>2018</x:v>
      </x:c>
      <x:c r="F301" s="16" t="str">
        <x:v>奥兰多，美国</x:v>
      </x:c>
      <x:c r="G301" s="16" t="str">
        <x:v>世界桥牌综合锦标赛</x:v>
      </x:c>
      <x:c r="H301" s="16" t="str">
        <x:v>Women Pairs 女子双人</x:v>
      </x:c>
      <x:c r="I301" s="16" t="n">
        <x:v>3</x:v>
      </x:c>
      <x:c r="J301" s="16" t="str">
        <x:v>铜牌</x:v>
      </x:c>
      <x:c r="K301" s="16" t="str">
        <x:v>Yan Huang – Nan Wang</x:v>
      </x:c>
      <x:c r="L301" s="16" t="str">
        <x:v>https://www.wbfmasterpoints.com/Medalsreport.asp</x:v>
      </x:c>
    </x:row>
    <x:row r="302">
      <x:c r="A302" s="35" t="str">
        <x:v>WBF-065</x:v>
      </x:c>
      <x:c r="B302" s="35" t="str">
        <x:v>Ming Sun</x:v>
      </x:c>
      <x:c r="C302" s="35" t="str">
        <x:v>孙铭</x:v>
      </x:c>
      <x:c r="D302" s="35" t="str">
        <x:v>已由中文报道核对</x:v>
      </x:c>
      <x:c r="E302" s="35" t="str">
        <x:v>2018</x:v>
      </x:c>
      <x:c r="F302" s="35" t="str">
        <x:v>奥兰多，美国</x:v>
      </x:c>
      <x:c r="G302" s="35" t="str">
        <x:v>世界桥牌综合锦标赛</x:v>
      </x:c>
      <x:c r="H302" s="35" t="str">
        <x:v>World Senior Teams 老年团体</x:v>
      </x:c>
      <x:c r="I302" s="35" t="n">
        <x:v>2</x:v>
      </x:c>
      <x:c r="J302" s="35" t="str">
        <x:v>银牌</x:v>
      </x:c>
      <x:c r="K302" s="35" t="str">
        <x:v>CHINA</x:v>
      </x:c>
      <x:c r="L302" s="35" t="str">
        <x:v>https://www.wbfmasterpoints.com/Medalsreport.asp</x:v>
      </x:c>
    </x:row>
    <x:row r="303">
      <x:c r="A303" s="16" t="str">
        <x:v>WBF-065</x:v>
      </x:c>
      <x:c r="B303" s="16" t="str">
        <x:v>Rongqiang Lin</x:v>
      </x:c>
      <x:c r="C303" s="16" t="str"/>
      <x:c r="D303" s="16" t="str">
        <x:v>未核实中文写法（最佳猜测及依据见专表）</x:v>
      </x:c>
      <x:c r="E303" s="16" t="str">
        <x:v>2018</x:v>
      </x:c>
      <x:c r="F303" s="16" t="str">
        <x:v>奥兰多，美国</x:v>
      </x:c>
      <x:c r="G303" s="16" t="str">
        <x:v>世界桥牌综合锦标赛</x:v>
      </x:c>
      <x:c r="H303" s="16" t="str">
        <x:v>World Senior Teams 老年团体</x:v>
      </x:c>
      <x:c r="I303" s="16" t="n">
        <x:v>2</x:v>
      </x:c>
      <x:c r="J303" s="16" t="str">
        <x:v>银牌</x:v>
      </x:c>
      <x:c r="K303" s="16" t="str">
        <x:v>CHINA</x:v>
      </x:c>
      <x:c r="L303" s="16" t="str">
        <x:v>https://www.wbfmasterpoints.com/Medalsreport.asp</x:v>
      </x:c>
    </x:row>
    <x:row r="304">
      <x:c r="A304" s="35" t="str">
        <x:v>WBF-065</x:v>
      </x:c>
      <x:c r="B304" s="35" t="str">
        <x:v>Xiaonong Shen</x:v>
      </x:c>
      <x:c r="C304" s="35" t="str"/>
      <x:c r="D304" s="35" t="str">
        <x:v>未核实中文写法（最佳猜测及依据见专表）</x:v>
      </x:c>
      <x:c r="E304" s="35" t="str">
        <x:v>2018</x:v>
      </x:c>
      <x:c r="F304" s="35" t="str">
        <x:v>奥兰多，美国</x:v>
      </x:c>
      <x:c r="G304" s="35" t="str">
        <x:v>世界桥牌综合锦标赛</x:v>
      </x:c>
      <x:c r="H304" s="35" t="str">
        <x:v>World Senior Teams 老年团体</x:v>
      </x:c>
      <x:c r="I304" s="35" t="n">
        <x:v>2</x:v>
      </x:c>
      <x:c r="J304" s="35" t="str">
        <x:v>银牌</x:v>
      </x:c>
      <x:c r="K304" s="35" t="str">
        <x:v>CHINA</x:v>
      </x:c>
      <x:c r="L304" s="35" t="str">
        <x:v>https://www.wbfmasterpoints.com/Medalsreport.asp</x:v>
      </x:c>
    </x:row>
    <x:row r="305">
      <x:c r="A305" s="16" t="str">
        <x:v>WBF-065</x:v>
      </x:c>
      <x:c r="B305" s="16" t="str">
        <x:v>Mingkun Shen</x:v>
      </x:c>
      <x:c r="C305" s="16" t="str"/>
      <x:c r="D305" s="16" t="str">
        <x:v>未核实中文写法（最佳猜测及依据见专表）</x:v>
      </x:c>
      <x:c r="E305" s="16" t="str">
        <x:v>2018</x:v>
      </x:c>
      <x:c r="F305" s="16" t="str">
        <x:v>奥兰多，美国</x:v>
      </x:c>
      <x:c r="G305" s="16" t="str">
        <x:v>世界桥牌综合锦标赛</x:v>
      </x:c>
      <x:c r="H305" s="16" t="str">
        <x:v>World Senior Teams 老年团体</x:v>
      </x:c>
      <x:c r="I305" s="16" t="n">
        <x:v>2</x:v>
      </x:c>
      <x:c r="J305" s="16" t="str">
        <x:v>银牌</x:v>
      </x:c>
      <x:c r="K305" s="16" t="str">
        <x:v>CHINA</x:v>
      </x:c>
      <x:c r="L305" s="16" t="str">
        <x:v>https://www.wbfmasterpoints.com/Medalsreport.asp</x:v>
      </x:c>
    </x:row>
    <x:row r="306">
      <x:c r="A306" s="35" t="str">
        <x:v>WBF-065</x:v>
      </x:c>
      <x:c r="B306" s="35" t="str">
        <x:v>Jian Hua Tao</x:v>
      </x:c>
      <x:c r="C306" s="35" t="str"/>
      <x:c r="D306" s="35" t="str">
        <x:v>未核实中文写法（最佳猜测及依据见专表）</x:v>
      </x:c>
      <x:c r="E306" s="35" t="str">
        <x:v>2018</x:v>
      </x:c>
      <x:c r="F306" s="35" t="str">
        <x:v>奥兰多，美国</x:v>
      </x:c>
      <x:c r="G306" s="35" t="str">
        <x:v>世界桥牌综合锦标赛</x:v>
      </x:c>
      <x:c r="H306" s="35" t="str">
        <x:v>World Senior Teams 老年团体</x:v>
      </x:c>
      <x:c r="I306" s="35" t="n">
        <x:v>2</x:v>
      </x:c>
      <x:c r="J306" s="35" t="str">
        <x:v>银牌</x:v>
      </x:c>
      <x:c r="K306" s="35" t="str">
        <x:v>CHINA</x:v>
      </x:c>
      <x:c r="L306" s="35" t="str">
        <x:v>https://www.wbfmasterpoints.com/Medalsreport.asp</x:v>
      </x:c>
    </x:row>
    <x:row r="307">
      <x:c r="A307" s="16" t="str">
        <x:v>WBF-066</x:v>
      </x:c>
      <x:c r="B307" s="16" t="str">
        <x:v>Tie Chen</x:v>
      </x:c>
      <x:c r="C307" s="16" t="str"/>
      <x:c r="D307" s="16" t="str">
        <x:v>未核实中文写法（最佳猜测及依据见专表）</x:v>
      </x:c>
      <x:c r="E307" s="16" t="str">
        <x:v>2018-08-08—2018-08-18</x:v>
      </x:c>
      <x:c r="F307" s="16" t="str">
        <x:v>吴江，中国</x:v>
      </x:c>
      <x:c r="G307" s="16" t="str">
        <x:v>世界青年团体锦标赛</x:v>
      </x:c>
      <x:c r="H307" s="16" t="str">
        <x:v>U16 Teams</x:v>
      </x:c>
      <x:c r="I307" s="16" t="n">
        <x:v>1</x:v>
      </x:c>
      <x:c r="J307" s="16" t="str">
        <x:v>金牌</x:v>
      </x:c>
      <x:c r="K307" s="16" t="str">
        <x:v>CHINA3</x:v>
      </x:c>
      <x:c r="L307" s="16" t="str">
        <x:v>https://www.worldbridge.org/competitions/the-world-youth-team-championships/</x:v>
      </x:c>
    </x:row>
    <x:row r="308">
      <x:c r="A308" s="35" t="str">
        <x:v>WBF-066</x:v>
      </x:c>
      <x:c r="B308" s="35" t="str">
        <x:v>Zanchao Cui</x:v>
      </x:c>
      <x:c r="C308" s="35" t="str"/>
      <x:c r="D308" s="35" t="str">
        <x:v>未核实中文写法（最佳猜测及依据见专表）</x:v>
      </x:c>
      <x:c r="E308" s="35" t="str">
        <x:v>2018-08-08—2018-08-18</x:v>
      </x:c>
      <x:c r="F308" s="35" t="str">
        <x:v>吴江，中国</x:v>
      </x:c>
      <x:c r="G308" s="35" t="str">
        <x:v>世界青年团体锦标赛</x:v>
      </x:c>
      <x:c r="H308" s="35" t="str">
        <x:v>U16 Teams</x:v>
      </x:c>
      <x:c r="I308" s="35" t="n">
        <x:v>1</x:v>
      </x:c>
      <x:c r="J308" s="35" t="str">
        <x:v>金牌</x:v>
      </x:c>
      <x:c r="K308" s="35" t="str">
        <x:v>CHINA3</x:v>
      </x:c>
      <x:c r="L308" s="35" t="str">
        <x:v>https://www.worldbridge.org/competitions/the-world-youth-team-championships/</x:v>
      </x:c>
    </x:row>
    <x:row r="309">
      <x:c r="A309" s="16" t="str">
        <x:v>WBF-066</x:v>
      </x:c>
      <x:c r="B309" s="16" t="str">
        <x:v>Xihong Dai</x:v>
      </x:c>
      <x:c r="C309" s="16" t="str"/>
      <x:c r="D309" s="16" t="str">
        <x:v>未核实中文写法（最佳猜测及依据见专表）</x:v>
      </x:c>
      <x:c r="E309" s="16" t="str">
        <x:v>2018-08-08—2018-08-18</x:v>
      </x:c>
      <x:c r="F309" s="16" t="str">
        <x:v>吴江，中国</x:v>
      </x:c>
      <x:c r="G309" s="16" t="str">
        <x:v>世界青年团体锦标赛</x:v>
      </x:c>
      <x:c r="H309" s="16" t="str">
        <x:v>U16 Teams</x:v>
      </x:c>
      <x:c r="I309" s="16" t="n">
        <x:v>1</x:v>
      </x:c>
      <x:c r="J309" s="16" t="str">
        <x:v>金牌</x:v>
      </x:c>
      <x:c r="K309" s="16" t="str">
        <x:v>CHINA3</x:v>
      </x:c>
      <x:c r="L309" s="16" t="str">
        <x:v>https://www.worldbridge.org/competitions/the-world-youth-team-championships/</x:v>
      </x:c>
    </x:row>
    <x:row r="310">
      <x:c r="A310" s="35" t="str">
        <x:v>WBF-066</x:v>
      </x:c>
      <x:c r="B310" s="35" t="str">
        <x:v>Sicheng Liu</x:v>
      </x:c>
      <x:c r="C310" s="35" t="str"/>
      <x:c r="D310" s="35" t="str">
        <x:v>未核实中文写法（最佳猜测及依据见专表）</x:v>
      </x:c>
      <x:c r="E310" s="35" t="str">
        <x:v>2018-08-08—2018-08-18</x:v>
      </x:c>
      <x:c r="F310" s="35" t="str">
        <x:v>吴江，中国</x:v>
      </x:c>
      <x:c r="G310" s="35" t="str">
        <x:v>世界青年团体锦标赛</x:v>
      </x:c>
      <x:c r="H310" s="35" t="str">
        <x:v>U16 Teams</x:v>
      </x:c>
      <x:c r="I310" s="35" t="n">
        <x:v>1</x:v>
      </x:c>
      <x:c r="J310" s="35" t="str">
        <x:v>金牌</x:v>
      </x:c>
      <x:c r="K310" s="35" t="str">
        <x:v>CHINA3</x:v>
      </x:c>
      <x:c r="L310" s="35" t="str">
        <x:v>https://www.worldbridge.org/competitions/the-world-youth-team-championships/</x:v>
      </x:c>
    </x:row>
    <x:row r="311">
      <x:c r="A311" s="16" t="str">
        <x:v>WBF-066</x:v>
      </x:c>
      <x:c r="B311" s="16" t="str">
        <x:v>Yiping Lu</x:v>
      </x:c>
      <x:c r="C311" s="16" t="str"/>
      <x:c r="D311" s="16" t="str">
        <x:v>未核实中文写法（最佳猜测及依据见专表）</x:v>
      </x:c>
      <x:c r="E311" s="16" t="str">
        <x:v>2018-08-08—2018-08-18</x:v>
      </x:c>
      <x:c r="F311" s="16" t="str">
        <x:v>吴江，中国</x:v>
      </x:c>
      <x:c r="G311" s="16" t="str">
        <x:v>世界青年团体锦标赛</x:v>
      </x:c>
      <x:c r="H311" s="16" t="str">
        <x:v>U16 Teams</x:v>
      </x:c>
      <x:c r="I311" s="16" t="n">
        <x:v>1</x:v>
      </x:c>
      <x:c r="J311" s="16" t="str">
        <x:v>金牌</x:v>
      </x:c>
      <x:c r="K311" s="16" t="str">
        <x:v>CHINA3</x:v>
      </x:c>
      <x:c r="L311" s="16" t="str">
        <x:v>https://www.worldbridge.org/competitions/the-world-youth-team-championships/</x:v>
      </x:c>
    </x:row>
    <x:row r="312">
      <x:c r="A312" s="35" t="str">
        <x:v>WBF-066</x:v>
      </x:c>
      <x:c r="B312" s="35" t="str">
        <x:v>Zichen Wang</x:v>
      </x:c>
      <x:c r="C312" s="35" t="str"/>
      <x:c r="D312" s="35" t="str">
        <x:v>未核实中文写法（最佳猜测及依据见专表）</x:v>
      </x:c>
      <x:c r="E312" s="35" t="str">
        <x:v>2018-08-08—2018-08-18</x:v>
      </x:c>
      <x:c r="F312" s="35" t="str">
        <x:v>吴江，中国</x:v>
      </x:c>
      <x:c r="G312" s="35" t="str">
        <x:v>世界青年团体锦标赛</x:v>
      </x:c>
      <x:c r="H312" s="35" t="str">
        <x:v>U16 Teams</x:v>
      </x:c>
      <x:c r="I312" s="35" t="n">
        <x:v>1</x:v>
      </x:c>
      <x:c r="J312" s="35" t="str">
        <x:v>金牌</x:v>
      </x:c>
      <x:c r="K312" s="35" t="str">
        <x:v>CHINA3</x:v>
      </x:c>
      <x:c r="L312" s="35" t="str">
        <x:v>https://www.worldbridge.org/competitions/the-world-youth-team-championships/</x:v>
      </x:c>
    </x:row>
    <x:row r="313">
      <x:c r="A313" s="16" t="str">
        <x:v>WBF-067</x:v>
      </x:c>
      <x:c r="B313" s="16" t="str">
        <x:v>Yijing Cai</x:v>
      </x:c>
      <x:c r="C313" s="16" t="str"/>
      <x:c r="D313" s="16" t="str">
        <x:v>未核实中文写法（最佳猜测及依据见专表）</x:v>
      </x:c>
      <x:c r="E313" s="16" t="str">
        <x:v>2018-08-08—2018-08-18</x:v>
      </x:c>
      <x:c r="F313" s="16" t="str">
        <x:v>吴江，中国</x:v>
      </x:c>
      <x:c r="G313" s="16" t="str">
        <x:v>世界青年团体锦标赛</x:v>
      </x:c>
      <x:c r="H313" s="16" t="str">
        <x:v>U26 Women Teams</x:v>
      </x:c>
      <x:c r="I313" s="16" t="n">
        <x:v>1</x:v>
      </x:c>
      <x:c r="J313" s="16" t="str">
        <x:v>金牌</x:v>
      </x:c>
      <x:c r="K313" s="16" t="str">
        <x:v>CHINA</x:v>
      </x:c>
      <x:c r="L313" s="16" t="str">
        <x:v>https://www.worldbridge.org/competitions/the-world-youth-team-championships/</x:v>
      </x:c>
    </x:row>
    <x:row r="314">
      <x:c r="A314" s="35" t="str">
        <x:v>WBF-067</x:v>
      </x:c>
      <x:c r="B314" s="35" t="str">
        <x:v>Bo Fu</x:v>
      </x:c>
      <x:c r="C314" s="35" t="str">
        <x:v>傅博</x:v>
      </x:c>
      <x:c r="D314" s="35" t="str">
        <x:v>已由中文报道核对</x:v>
      </x:c>
      <x:c r="E314" s="35" t="str">
        <x:v>2018-08-08—2018-08-18</x:v>
      </x:c>
      <x:c r="F314" s="35" t="str">
        <x:v>吴江，中国</x:v>
      </x:c>
      <x:c r="G314" s="35" t="str">
        <x:v>世界青年团体锦标赛</x:v>
      </x:c>
      <x:c r="H314" s="35" t="str">
        <x:v>U26 Women Teams</x:v>
      </x:c>
      <x:c r="I314" s="35" t="n">
        <x:v>1</x:v>
      </x:c>
      <x:c r="J314" s="35" t="str">
        <x:v>金牌</x:v>
      </x:c>
      <x:c r="K314" s="35" t="str">
        <x:v>CHINA</x:v>
      </x:c>
      <x:c r="L314" s="35" t="str">
        <x:v>https://www.worldbridge.org/competitions/the-world-youth-team-championships/</x:v>
      </x:c>
    </x:row>
    <x:row r="315">
      <x:c r="A315" s="16" t="str">
        <x:v>WBF-067</x:v>
      </x:c>
      <x:c r="B315" s="16" t="str">
        <x:v>Chengke Hu</x:v>
      </x:c>
      <x:c r="C315" s="16" t="str"/>
      <x:c r="D315" s="16" t="str">
        <x:v>未核实中文写法（最佳猜测及依据见专表）</x:v>
      </x:c>
      <x:c r="E315" s="16" t="str">
        <x:v>2018-08-08—2018-08-18</x:v>
      </x:c>
      <x:c r="F315" s="16" t="str">
        <x:v>吴江，中国</x:v>
      </x:c>
      <x:c r="G315" s="16" t="str">
        <x:v>世界青年团体锦标赛</x:v>
      </x:c>
      <x:c r="H315" s="16" t="str">
        <x:v>U26 Women Teams</x:v>
      </x:c>
      <x:c r="I315" s="16" t="n">
        <x:v>1</x:v>
      </x:c>
      <x:c r="J315" s="16" t="str">
        <x:v>金牌</x:v>
      </x:c>
      <x:c r="K315" s="16" t="str">
        <x:v>CHINA</x:v>
      </x:c>
      <x:c r="L315" s="16" t="str">
        <x:v>https://www.worldbridge.org/competitions/the-world-youth-team-championships/</x:v>
      </x:c>
    </x:row>
    <x:row r="316">
      <x:c r="A316" s="35" t="str">
        <x:v>WBF-067</x:v>
      </x:c>
      <x:c r="B316" s="35" t="str">
        <x:v>Xinyi Li</x:v>
      </x:c>
      <x:c r="C316" s="35" t="str"/>
      <x:c r="D316" s="35" t="str">
        <x:v>未核实中文写法（最佳猜测及依据见专表）</x:v>
      </x:c>
      <x:c r="E316" s="35" t="str">
        <x:v>2018-08-08—2018-08-18</x:v>
      </x:c>
      <x:c r="F316" s="35" t="str">
        <x:v>吴江，中国</x:v>
      </x:c>
      <x:c r="G316" s="35" t="str">
        <x:v>世界青年团体锦标赛</x:v>
      </x:c>
      <x:c r="H316" s="35" t="str">
        <x:v>U26 Women Teams</x:v>
      </x:c>
      <x:c r="I316" s="35" t="n">
        <x:v>1</x:v>
      </x:c>
      <x:c r="J316" s="35" t="str">
        <x:v>金牌</x:v>
      </x:c>
      <x:c r="K316" s="35" t="str">
        <x:v>CHINA</x:v>
      </x:c>
      <x:c r="L316" s="35" t="str">
        <x:v>https://www.worldbridge.org/competitions/the-world-youth-team-championships/</x:v>
      </x:c>
    </x:row>
    <x:row r="317">
      <x:c r="A317" s="16" t="str">
        <x:v>WBF-067</x:v>
      </x:c>
      <x:c r="B317" s="16" t="str">
        <x:v>Xinyi Ni</x:v>
      </x:c>
      <x:c r="C317" s="16" t="str"/>
      <x:c r="D317" s="16" t="str">
        <x:v>未核实中文写法（最佳猜测及依据见专表）</x:v>
      </x:c>
      <x:c r="E317" s="16" t="str">
        <x:v>2018-08-08—2018-08-18</x:v>
      </x:c>
      <x:c r="F317" s="16" t="str">
        <x:v>吴江，中国</x:v>
      </x:c>
      <x:c r="G317" s="16" t="str">
        <x:v>世界青年团体锦标赛</x:v>
      </x:c>
      <x:c r="H317" s="16" t="str">
        <x:v>U26 Women Teams</x:v>
      </x:c>
      <x:c r="I317" s="16" t="n">
        <x:v>1</x:v>
      </x:c>
      <x:c r="J317" s="16" t="str">
        <x:v>金牌</x:v>
      </x:c>
      <x:c r="K317" s="16" t="str">
        <x:v>CHINA</x:v>
      </x:c>
      <x:c r="L317" s="16" t="str">
        <x:v>https://www.worldbridge.org/competitions/the-world-youth-team-championships/</x:v>
      </x:c>
    </x:row>
    <x:row r="318">
      <x:c r="A318" s="35" t="str">
        <x:v>WBF-067</x:v>
      </x:c>
      <x:c r="B318" s="35" t="str">
        <x:v>Yang Yang</x:v>
      </x:c>
      <x:c r="C318" s="35" t="str"/>
      <x:c r="D318" s="35" t="str">
        <x:v>未核实中文写法（最佳猜测及依据见专表）</x:v>
      </x:c>
      <x:c r="E318" s="35" t="str">
        <x:v>2018-08-08—2018-08-18</x:v>
      </x:c>
      <x:c r="F318" s="35" t="str">
        <x:v>吴江，中国</x:v>
      </x:c>
      <x:c r="G318" s="35" t="str">
        <x:v>世界青年团体锦标赛</x:v>
      </x:c>
      <x:c r="H318" s="35" t="str">
        <x:v>U26 Women Teams</x:v>
      </x:c>
      <x:c r="I318" s="35" t="n">
        <x:v>1</x:v>
      </x:c>
      <x:c r="J318" s="35" t="str">
        <x:v>金牌</x:v>
      </x:c>
      <x:c r="K318" s="35" t="str">
        <x:v>CHINA</x:v>
      </x:c>
      <x:c r="L318" s="35" t="str">
        <x:v>https://www.worldbridge.org/competitions/the-world-youth-team-championships/</x:v>
      </x:c>
    </x:row>
    <x:row r="319">
      <x:c r="A319" s="16" t="str">
        <x:v>WBF-068</x:v>
      </x:c>
      <x:c r="B319" s="16" t="str">
        <x:v>Zhiyu Cheng</x:v>
      </x:c>
      <x:c r="C319" s="16" t="str"/>
      <x:c r="D319" s="16" t="str">
        <x:v>未核实中文写法（最佳猜测及依据见专表）</x:v>
      </x:c>
      <x:c r="E319" s="16" t="str">
        <x:v>2018-08-08—2018-08-18</x:v>
      </x:c>
      <x:c r="F319" s="16" t="str">
        <x:v>吴江，中国</x:v>
      </x:c>
      <x:c r="G319" s="16" t="str">
        <x:v>世界青年团体锦标赛</x:v>
      </x:c>
      <x:c r="H319" s="16" t="str">
        <x:v>Youth BAM</x:v>
      </x:c>
      <x:c r="I319" s="16" t="n">
        <x:v>2</x:v>
      </x:c>
      <x:c r="J319" s="16" t="str">
        <x:v>银牌</x:v>
      </x:c>
      <x:c r="K319" s="16" t="str">
        <x:v>CHINA YOUNGSTERS</x:v>
      </x:c>
      <x:c r="L319" s="16" t="str">
        <x:v>https://www.worldbridge.org/competitions/the-world-youth-team-championships/</x:v>
      </x:c>
    </x:row>
    <x:row r="320">
      <x:c r="A320" s="35" t="str">
        <x:v>WBF-068</x:v>
      </x:c>
      <x:c r="B320" s="35" t="str">
        <x:v>Baozhuo Jiang</x:v>
      </x:c>
      <x:c r="C320" s="35" t="str"/>
      <x:c r="D320" s="35" t="str">
        <x:v>未核实中文写法（最佳猜测及依据见专表）</x:v>
      </x:c>
      <x:c r="E320" s="35" t="str">
        <x:v>2018-08-08—2018-08-18</x:v>
      </x:c>
      <x:c r="F320" s="35" t="str">
        <x:v>吴江，中国</x:v>
      </x:c>
      <x:c r="G320" s="35" t="str">
        <x:v>世界青年团体锦标赛</x:v>
      </x:c>
      <x:c r="H320" s="35" t="str">
        <x:v>Youth BAM</x:v>
      </x:c>
      <x:c r="I320" s="35" t="n">
        <x:v>2</x:v>
      </x:c>
      <x:c r="J320" s="35" t="str">
        <x:v>银牌</x:v>
      </x:c>
      <x:c r="K320" s="35" t="str">
        <x:v>CHINA YOUNGSTERS</x:v>
      </x:c>
      <x:c r="L320" s="35" t="str">
        <x:v>https://www.worldbridge.org/competitions/the-world-youth-team-championships/</x:v>
      </x:c>
    </x:row>
    <x:row r="321">
      <x:c r="A321" s="16" t="str">
        <x:v>WBF-068</x:v>
      </x:c>
      <x:c r="B321" s="16" t="str">
        <x:v>Yufan Liao</x:v>
      </x:c>
      <x:c r="C321" s="16" t="str"/>
      <x:c r="D321" s="16" t="str">
        <x:v>未核实中文写法（最佳猜测及依据见专表）</x:v>
      </x:c>
      <x:c r="E321" s="16" t="str">
        <x:v>2018-08-08—2018-08-18</x:v>
      </x:c>
      <x:c r="F321" s="16" t="str">
        <x:v>吴江，中国</x:v>
      </x:c>
      <x:c r="G321" s="16" t="str">
        <x:v>世界青年团体锦标赛</x:v>
      </x:c>
      <x:c r="H321" s="16" t="str">
        <x:v>Youth BAM</x:v>
      </x:c>
      <x:c r="I321" s="16" t="n">
        <x:v>2</x:v>
      </x:c>
      <x:c r="J321" s="16" t="str">
        <x:v>银牌</x:v>
      </x:c>
      <x:c r="K321" s="16" t="str">
        <x:v>CHINA YOUNGSTERS</x:v>
      </x:c>
      <x:c r="L321" s="16" t="str">
        <x:v>https://www.worldbridge.org/competitions/the-world-youth-team-championships/</x:v>
      </x:c>
    </x:row>
    <x:row r="322">
      <x:c r="A322" s="35" t="str">
        <x:v>WBF-068</x:v>
      </x:c>
      <x:c r="B322" s="35" t="str">
        <x:v>Randy Pan</x:v>
      </x:c>
      <x:c r="C322" s="35" t="str"/>
      <x:c r="D322" s="35" t="str">
        <x:v>未核实中文写法（最佳猜测及依据见专表）</x:v>
      </x:c>
      <x:c r="E322" s="35" t="str">
        <x:v>2018-08-08—2018-08-18</x:v>
      </x:c>
      <x:c r="F322" s="35" t="str">
        <x:v>吴江，中国</x:v>
      </x:c>
      <x:c r="G322" s="35" t="str">
        <x:v>世界青年团体锦标赛</x:v>
      </x:c>
      <x:c r="H322" s="35" t="str">
        <x:v>Youth BAM</x:v>
      </x:c>
      <x:c r="I322" s="35" t="n">
        <x:v>2</x:v>
      </x:c>
      <x:c r="J322" s="35" t="str">
        <x:v>银牌</x:v>
      </x:c>
      <x:c r="K322" s="35" t="str">
        <x:v>CHINA YOUNGSTERS</x:v>
      </x:c>
      <x:c r="L322" s="35" t="str">
        <x:v>https://www.worldbridge.org/competitions/the-world-youth-team-championships/</x:v>
      </x:c>
    </x:row>
    <x:row r="323">
      <x:c r="A323" s="16" t="str">
        <x:v>WBF-068</x:v>
      </x:c>
      <x:c r="B323" s="16" t="str">
        <x:v>Qian Sun</x:v>
      </x:c>
      <x:c r="C323" s="16" t="str"/>
      <x:c r="D323" s="16" t="str">
        <x:v>未核实中文写法（最佳猜测及依据见专表）</x:v>
      </x:c>
      <x:c r="E323" s="16" t="str">
        <x:v>2018-08-08—2018-08-18</x:v>
      </x:c>
      <x:c r="F323" s="16" t="str">
        <x:v>吴江，中国</x:v>
      </x:c>
      <x:c r="G323" s="16" t="str">
        <x:v>世界青年团体锦标赛</x:v>
      </x:c>
      <x:c r="H323" s="16" t="str">
        <x:v>Youth BAM</x:v>
      </x:c>
      <x:c r="I323" s="16" t="n">
        <x:v>2</x:v>
      </x:c>
      <x:c r="J323" s="16" t="str">
        <x:v>银牌</x:v>
      </x:c>
      <x:c r="K323" s="16" t="str">
        <x:v>CHINA YOUNGSTERS</x:v>
      </x:c>
      <x:c r="L323" s="16" t="str">
        <x:v>https://www.worldbridge.org/competitions/the-world-youth-team-championships/</x:v>
      </x:c>
    </x:row>
    <x:row r="324">
      <x:c r="A324" s="35" t="str">
        <x:v>WBF-068</x:v>
      </x:c>
      <x:c r="B324" s="35" t="str">
        <x:v>Xihao Wang</x:v>
      </x:c>
      <x:c r="C324" s="35" t="str"/>
      <x:c r="D324" s="35" t="str">
        <x:v>未核实中文写法（最佳猜测及依据见专表）</x:v>
      </x:c>
      <x:c r="E324" s="35" t="str">
        <x:v>2018-08-08—2018-08-18</x:v>
      </x:c>
      <x:c r="F324" s="35" t="str">
        <x:v>吴江，中国</x:v>
      </x:c>
      <x:c r="G324" s="35" t="str">
        <x:v>世界青年团体锦标赛</x:v>
      </x:c>
      <x:c r="H324" s="35" t="str">
        <x:v>Youth BAM</x:v>
      </x:c>
      <x:c r="I324" s="35" t="n">
        <x:v>2</x:v>
      </x:c>
      <x:c r="J324" s="35" t="str">
        <x:v>银牌</x:v>
      </x:c>
      <x:c r="K324" s="35" t="str">
        <x:v>CHINA YOUNGSTERS</x:v>
      </x:c>
      <x:c r="L324" s="35" t="str">
        <x:v>https://www.worldbridge.org/competitions/the-world-youth-team-championships/</x:v>
      </x:c>
    </x:row>
    <x:row r="325">
      <x:c r="A325" s="16" t="str">
        <x:v>WBF-069</x:v>
      </x:c>
      <x:c r="B325" s="16" t="str">
        <x:v>Yanzhuo Fu</x:v>
      </x:c>
      <x:c r="C325" s="16" t="str"/>
      <x:c r="D325" s="16" t="str">
        <x:v>未核实中文写法（最佳猜测及依据见专表）</x:v>
      </x:c>
      <x:c r="E325" s="16" t="str">
        <x:v>2019-08-20—2019-08-29</x:v>
      </x:c>
      <x:c r="F325" s="16" t="str">
        <x:v>奥帕蒂亚，克罗地亚</x:v>
      </x:c>
      <x:c r="G325" s="16" t="str">
        <x:v>第6届世界青年公开锦标赛</x:v>
      </x:c>
      <x:c r="H325" s="16" t="str">
        <x:v>U16 Teams</x:v>
      </x:c>
      <x:c r="I325" s="16" t="n">
        <x:v>1</x:v>
      </x:c>
      <x:c r="J325" s="16" t="str">
        <x:v>金牌</x:v>
      </x:c>
      <x:c r="K325" s="16" t="str">
        <x:v>SXMARS</x:v>
      </x:c>
      <x:c r="L325" s="16" t="str">
        <x:v>https://www.worldbridge.org/2019/08/6th-world-youth-open-championships-the-teams-and-bam-winners/</x:v>
      </x:c>
    </x:row>
    <x:row r="326">
      <x:c r="A326" s="35" t="str">
        <x:v>WBF-069</x:v>
      </x:c>
      <x:c r="B326" s="35" t="str">
        <x:v>Zhuxiongjie Gao</x:v>
      </x:c>
      <x:c r="C326" s="35" t="str"/>
      <x:c r="D326" s="35" t="str">
        <x:v>未核实中文写法（最佳猜测及依据见专表）</x:v>
      </x:c>
      <x:c r="E326" s="35" t="str">
        <x:v>2019-08-20—2019-08-29</x:v>
      </x:c>
      <x:c r="F326" s="35" t="str">
        <x:v>奥帕蒂亚，克罗地亚</x:v>
      </x:c>
      <x:c r="G326" s="35" t="str">
        <x:v>第6届世界青年公开锦标赛</x:v>
      </x:c>
      <x:c r="H326" s="35" t="str">
        <x:v>U16 Teams</x:v>
      </x:c>
      <x:c r="I326" s="35" t="n">
        <x:v>1</x:v>
      </x:c>
      <x:c r="J326" s="35" t="str">
        <x:v>金牌</x:v>
      </x:c>
      <x:c r="K326" s="35" t="str">
        <x:v>SXMARS</x:v>
      </x:c>
      <x:c r="L326" s="35" t="str">
        <x:v>https://www.worldbridge.org/2019/08/6th-world-youth-open-championships-the-teams-and-bam-winners/</x:v>
      </x:c>
    </x:row>
    <x:row r="327">
      <x:c r="A327" s="16" t="str">
        <x:v>WBF-069</x:v>
      </x:c>
      <x:c r="B327" s="16" t="str">
        <x:v>Ningyu Lang</x:v>
      </x:c>
      <x:c r="C327" s="16" t="str"/>
      <x:c r="D327" s="16" t="str">
        <x:v>未核实中文写法（最佳猜测及依据见专表）</x:v>
      </x:c>
      <x:c r="E327" s="16" t="str">
        <x:v>2019-08-20—2019-08-29</x:v>
      </x:c>
      <x:c r="F327" s="16" t="str">
        <x:v>奥帕蒂亚，克罗地亚</x:v>
      </x:c>
      <x:c r="G327" s="16" t="str">
        <x:v>第6届世界青年公开锦标赛</x:v>
      </x:c>
      <x:c r="H327" s="16" t="str">
        <x:v>U16 Teams</x:v>
      </x:c>
      <x:c r="I327" s="16" t="n">
        <x:v>1</x:v>
      </x:c>
      <x:c r="J327" s="16" t="str">
        <x:v>金牌</x:v>
      </x:c>
      <x:c r="K327" s="16" t="str">
        <x:v>SXMARS</x:v>
      </x:c>
      <x:c r="L327" s="16" t="str">
        <x:v>https://www.worldbridge.org/2019/08/6th-world-youth-open-championships-the-teams-and-bam-winners/</x:v>
      </x:c>
    </x:row>
    <x:row r="328">
      <x:c r="A328" s="35" t="str">
        <x:v>WBF-069</x:v>
      </x:c>
      <x:c r="B328" s="35" t="str">
        <x:v>Haotian Shen</x:v>
      </x:c>
      <x:c r="C328" s="35" t="str"/>
      <x:c r="D328" s="35" t="str">
        <x:v>未核实中文写法（最佳猜测及依据见专表）</x:v>
      </x:c>
      <x:c r="E328" s="35" t="str">
        <x:v>2019-08-20—2019-08-29</x:v>
      </x:c>
      <x:c r="F328" s="35" t="str">
        <x:v>奥帕蒂亚，克罗地亚</x:v>
      </x:c>
      <x:c r="G328" s="35" t="str">
        <x:v>第6届世界青年公开锦标赛</x:v>
      </x:c>
      <x:c r="H328" s="35" t="str">
        <x:v>U16 Teams</x:v>
      </x:c>
      <x:c r="I328" s="35" t="n">
        <x:v>1</x:v>
      </x:c>
      <x:c r="J328" s="35" t="str">
        <x:v>金牌</x:v>
      </x:c>
      <x:c r="K328" s="35" t="str">
        <x:v>SXMARS</x:v>
      </x:c>
      <x:c r="L328" s="35" t="str">
        <x:v>https://www.worldbridge.org/2019/08/6th-world-youth-open-championships-the-teams-and-bam-winners/</x:v>
      </x:c>
    </x:row>
    <x:row r="329">
      <x:c r="A329" s="16" t="str">
        <x:v>WBF-069</x:v>
      </x:c>
      <x:c r="B329" s="16" t="str">
        <x:v>Zicheng Wang</x:v>
      </x:c>
      <x:c r="C329" s="16" t="str"/>
      <x:c r="D329" s="16" t="str">
        <x:v>未核实中文写法（最佳猜测及依据见专表）</x:v>
      </x:c>
      <x:c r="E329" s="16" t="str">
        <x:v>2019-08-20—2019-08-29</x:v>
      </x:c>
      <x:c r="F329" s="16" t="str">
        <x:v>奥帕蒂亚，克罗地亚</x:v>
      </x:c>
      <x:c r="G329" s="16" t="str">
        <x:v>第6届世界青年公开锦标赛</x:v>
      </x:c>
      <x:c r="H329" s="16" t="str">
        <x:v>U16 Teams</x:v>
      </x:c>
      <x:c r="I329" s="16" t="n">
        <x:v>1</x:v>
      </x:c>
      <x:c r="J329" s="16" t="str">
        <x:v>金牌</x:v>
      </x:c>
      <x:c r="K329" s="16" t="str">
        <x:v>SXMARS</x:v>
      </x:c>
      <x:c r="L329" s="16" t="str">
        <x:v>https://www.worldbridge.org/2019/08/6th-world-youth-open-championships-the-teams-and-bam-winners/</x:v>
      </x:c>
    </x:row>
    <x:row r="330">
      <x:c r="A330" s="35" t="str">
        <x:v>WBF-069</x:v>
      </x:c>
      <x:c r="B330" s="35" t="str">
        <x:v>Fanfei Yu</x:v>
      </x:c>
      <x:c r="C330" s="35" t="str"/>
      <x:c r="D330" s="35" t="str">
        <x:v>未核实中文写法（最佳猜测及依据见专表）</x:v>
      </x:c>
      <x:c r="E330" s="35" t="str">
        <x:v>2019-08-20—2019-08-29</x:v>
      </x:c>
      <x:c r="F330" s="35" t="str">
        <x:v>奥帕蒂亚，克罗地亚</x:v>
      </x:c>
      <x:c r="G330" s="35" t="str">
        <x:v>第6届世界青年公开锦标赛</x:v>
      </x:c>
      <x:c r="H330" s="35" t="str">
        <x:v>U16 Teams</x:v>
      </x:c>
      <x:c r="I330" s="35" t="n">
        <x:v>1</x:v>
      </x:c>
      <x:c r="J330" s="35" t="str">
        <x:v>金牌</x:v>
      </x:c>
      <x:c r="K330" s="35" t="str">
        <x:v>SXMARS</x:v>
      </x:c>
      <x:c r="L330" s="35" t="str">
        <x:v>https://www.worldbridge.org/2019/08/6th-world-youth-open-championships-the-teams-and-bam-winners/</x:v>
      </x:c>
    </x:row>
    <x:row r="331">
      <x:c r="A331" s="16" t="str">
        <x:v>WBF-070</x:v>
      </x:c>
      <x:c r="B331" s="16" t="str">
        <x:v>Suhang Li</x:v>
      </x:c>
      <x:c r="C331" s="16" t="str"/>
      <x:c r="D331" s="16" t="str">
        <x:v>未核实中文写法（最佳猜测及依据见专表）</x:v>
      </x:c>
      <x:c r="E331" s="16" t="str">
        <x:v>2019-08-20—2019-08-29</x:v>
      </x:c>
      <x:c r="F331" s="16" t="str">
        <x:v>奥帕蒂亚，克罗地亚</x:v>
      </x:c>
      <x:c r="G331" s="16" t="str">
        <x:v>第6届世界青年公开锦标赛</x:v>
      </x:c>
      <x:c r="H331" s="16" t="str">
        <x:v>U16 Teams</x:v>
      </x:c>
      <x:c r="I331" s="16" t="n">
        <x:v>3</x:v>
      </x:c>
      <x:c r="J331" s="16" t="str">
        <x:v>铜牌</x:v>
      </x:c>
      <x:c r="K331" s="16" t="str">
        <x:v>SXSATURN</x:v>
      </x:c>
      <x:c r="L331" s="16" t="str">
        <x:v>https://www.worldbridge.org/2019/08/6th-world-youth-open-championships-the-teams-and-bam-winners/</x:v>
      </x:c>
    </x:row>
    <x:row r="332">
      <x:c r="A332" s="35" t="str">
        <x:v>WBF-070</x:v>
      </x:c>
      <x:c r="B332" s="35" t="str">
        <x:v>Zhenyue Lu</x:v>
      </x:c>
      <x:c r="C332" s="35" t="str"/>
      <x:c r="D332" s="35" t="str">
        <x:v>未核实中文写法（最佳猜测及依据见专表）</x:v>
      </x:c>
      <x:c r="E332" s="35" t="str">
        <x:v>2019-08-20—2019-08-29</x:v>
      </x:c>
      <x:c r="F332" s="35" t="str">
        <x:v>奥帕蒂亚，克罗地亚</x:v>
      </x:c>
      <x:c r="G332" s="35" t="str">
        <x:v>第6届世界青年公开锦标赛</x:v>
      </x:c>
      <x:c r="H332" s="35" t="str">
        <x:v>U16 Teams</x:v>
      </x:c>
      <x:c r="I332" s="35" t="n">
        <x:v>3</x:v>
      </x:c>
      <x:c r="J332" s="35" t="str">
        <x:v>铜牌</x:v>
      </x:c>
      <x:c r="K332" s="35" t="str">
        <x:v>SXSATURN</x:v>
      </x:c>
      <x:c r="L332" s="35" t="str">
        <x:v>https://www.worldbridge.org/2019/08/6th-world-youth-open-championships-the-teams-and-bam-winners/</x:v>
      </x:c>
    </x:row>
    <x:row r="333">
      <x:c r="A333" s="16" t="str">
        <x:v>WBF-070</x:v>
      </x:c>
      <x:c r="B333" s="16" t="str">
        <x:v>Tengbo Tang</x:v>
      </x:c>
      <x:c r="C333" s="16" t="str"/>
      <x:c r="D333" s="16" t="str">
        <x:v>未核实中文写法（最佳猜测及依据见专表）</x:v>
      </x:c>
      <x:c r="E333" s="16" t="str">
        <x:v>2019-08-20—2019-08-29</x:v>
      </x:c>
      <x:c r="F333" s="16" t="str">
        <x:v>奥帕蒂亚，克罗地亚</x:v>
      </x:c>
      <x:c r="G333" s="16" t="str">
        <x:v>第6届世界青年公开锦标赛</x:v>
      </x:c>
      <x:c r="H333" s="16" t="str">
        <x:v>U16 Teams</x:v>
      </x:c>
      <x:c r="I333" s="16" t="n">
        <x:v>3</x:v>
      </x:c>
      <x:c r="J333" s="16" t="str">
        <x:v>铜牌</x:v>
      </x:c>
      <x:c r="K333" s="16" t="str">
        <x:v>SXSATURN</x:v>
      </x:c>
      <x:c r="L333" s="16" t="str">
        <x:v>https://www.worldbridge.org/2019/08/6th-world-youth-open-championships-the-teams-and-bam-winners/</x:v>
      </x:c>
    </x:row>
    <x:row r="334">
      <x:c r="A334" s="35" t="str">
        <x:v>WBF-070</x:v>
      </x:c>
      <x:c r="B334" s="35" t="str">
        <x:v>Zhixian Tian</x:v>
      </x:c>
      <x:c r="C334" s="35" t="str"/>
      <x:c r="D334" s="35" t="str">
        <x:v>未核实中文写法（最佳猜测及依据见专表）</x:v>
      </x:c>
      <x:c r="E334" s="35" t="str">
        <x:v>2019-08-20—2019-08-29</x:v>
      </x:c>
      <x:c r="F334" s="35" t="str">
        <x:v>奥帕蒂亚，克罗地亚</x:v>
      </x:c>
      <x:c r="G334" s="35" t="str">
        <x:v>第6届世界青年公开锦标赛</x:v>
      </x:c>
      <x:c r="H334" s="35" t="str">
        <x:v>U16 Teams</x:v>
      </x:c>
      <x:c r="I334" s="35" t="n">
        <x:v>3</x:v>
      </x:c>
      <x:c r="J334" s="35" t="str">
        <x:v>铜牌</x:v>
      </x:c>
      <x:c r="K334" s="35" t="str">
        <x:v>SXSATURN</x:v>
      </x:c>
      <x:c r="L334" s="35" t="str">
        <x:v>https://www.worldbridge.org/2019/08/6th-world-youth-open-championships-the-teams-and-bam-winners/</x:v>
      </x:c>
    </x:row>
    <x:row r="335">
      <x:c r="A335" s="16" t="str">
        <x:v>WBF-070</x:v>
      </x:c>
      <x:c r="B335" s="16" t="str">
        <x:v>Yijun Wu</x:v>
      </x:c>
      <x:c r="C335" s="16" t="str"/>
      <x:c r="D335" s="16" t="str">
        <x:v>未核实中文写法（最佳猜测及依据见专表）</x:v>
      </x:c>
      <x:c r="E335" s="16" t="str">
        <x:v>2019-08-20—2019-08-29</x:v>
      </x:c>
      <x:c r="F335" s="16" t="str">
        <x:v>奥帕蒂亚，克罗地亚</x:v>
      </x:c>
      <x:c r="G335" s="16" t="str">
        <x:v>第6届世界青年公开锦标赛</x:v>
      </x:c>
      <x:c r="H335" s="16" t="str">
        <x:v>U16 Teams</x:v>
      </x:c>
      <x:c r="I335" s="16" t="n">
        <x:v>3</x:v>
      </x:c>
      <x:c r="J335" s="16" t="str">
        <x:v>铜牌</x:v>
      </x:c>
      <x:c r="K335" s="16" t="str">
        <x:v>SXSATURN</x:v>
      </x:c>
      <x:c r="L335" s="16" t="str">
        <x:v>https://www.worldbridge.org/2019/08/6th-world-youth-open-championships-the-teams-and-bam-winners/</x:v>
      </x:c>
    </x:row>
    <x:row r="336">
      <x:c r="A336" s="35" t="str">
        <x:v>WBF-070</x:v>
      </x:c>
      <x:c r="B336" s="35" t="str">
        <x:v>Xuyang Zhang</x:v>
      </x:c>
      <x:c r="C336" s="35" t="str"/>
      <x:c r="D336" s="35" t="str">
        <x:v>未核实中文写法（最佳猜测及依据见专表）</x:v>
      </x:c>
      <x:c r="E336" s="35" t="str">
        <x:v>2019-08-20—2019-08-29</x:v>
      </x:c>
      <x:c r="F336" s="35" t="str">
        <x:v>奥帕蒂亚，克罗地亚</x:v>
      </x:c>
      <x:c r="G336" s="35" t="str">
        <x:v>第6届世界青年公开锦标赛</x:v>
      </x:c>
      <x:c r="H336" s="35" t="str">
        <x:v>U16 Teams</x:v>
      </x:c>
      <x:c r="I336" s="35" t="n">
        <x:v>3</x:v>
      </x:c>
      <x:c r="J336" s="35" t="str">
        <x:v>铜牌</x:v>
      </x:c>
      <x:c r="K336" s="35" t="str">
        <x:v>SXSATURN</x:v>
      </x:c>
      <x:c r="L336" s="35" t="str">
        <x:v>https://www.worldbridge.org/2019/08/6th-world-youth-open-championships-the-teams-and-bam-winners/</x:v>
      </x:c>
    </x:row>
    <x:row r="337">
      <x:c r="A337" s="16" t="str">
        <x:v>WBF-071</x:v>
      </x:c>
      <x:c r="B337" s="16" t="str">
        <x:v>Hongji Wei</x:v>
      </x:c>
      <x:c r="C337" s="16" t="str"/>
      <x:c r="D337" s="16" t="str">
        <x:v>未核实中文写法（最佳猜测及依据见专表）</x:v>
      </x:c>
      <x:c r="E337" s="16" t="str">
        <x:v>2019-08-20—2019-08-29</x:v>
      </x:c>
      <x:c r="F337" s="16" t="str">
        <x:v>奥帕蒂亚，克罗地亚</x:v>
      </x:c>
      <x:c r="G337" s="16" t="str">
        <x:v>第6届世界青年公开锦标赛</x:v>
      </x:c>
      <x:c r="H337" s="16" t="str">
        <x:v>U26 Pairs</x:v>
      </x:c>
      <x:c r="I337" s="16" t="n">
        <x:v>3</x:v>
      </x:c>
      <x:c r="J337" s="16" t="str">
        <x:v>铜牌</x:v>
      </x:c>
      <x:c r="K337" s="16" t="str">
        <x:v>Hongji Wei – Shiyu Sun</x:v>
      </x:c>
      <x:c r="L337" s="16" t="str">
        <x:v>https://www.worldbridge.org/2019/08/6th-world-youth-open-championships-the-pairs-winners/</x:v>
      </x:c>
    </x:row>
    <x:row r="338">
      <x:c r="A338" s="35" t="str">
        <x:v>WBF-071</x:v>
      </x:c>
      <x:c r="B338" s="35" t="str">
        <x:v>Shiyu Sun</x:v>
      </x:c>
      <x:c r="C338" s="35" t="str"/>
      <x:c r="D338" s="35" t="str">
        <x:v>未核实中文写法（最佳猜测及依据见专表）</x:v>
      </x:c>
      <x:c r="E338" s="35" t="str">
        <x:v>2019-08-20—2019-08-29</x:v>
      </x:c>
      <x:c r="F338" s="35" t="str">
        <x:v>奥帕蒂亚，克罗地亚</x:v>
      </x:c>
      <x:c r="G338" s="35" t="str">
        <x:v>第6届世界青年公开锦标赛</x:v>
      </x:c>
      <x:c r="H338" s="35" t="str">
        <x:v>U26 Pairs</x:v>
      </x:c>
      <x:c r="I338" s="35" t="n">
        <x:v>3</x:v>
      </x:c>
      <x:c r="J338" s="35" t="str">
        <x:v>铜牌</x:v>
      </x:c>
      <x:c r="K338" s="35" t="str">
        <x:v>Hongji Wei – Shiyu Sun</x:v>
      </x:c>
      <x:c r="L338" s="35" t="str">
        <x:v>https://www.worldbridge.org/2019/08/6th-world-youth-open-championships-the-pairs-winners/</x:v>
      </x:c>
    </x:row>
    <x:row r="339">
      <x:c r="A339" s="16" t="str">
        <x:v>WBF-072</x:v>
      </x:c>
      <x:c r="B339" s="16" t="str">
        <x:v>Yijia Lu</x:v>
      </x:c>
      <x:c r="C339" s="16" t="str"/>
      <x:c r="D339" s="16" t="str">
        <x:v>未核实中文写法（最佳猜测及依据见专表）</x:v>
      </x:c>
      <x:c r="E339" s="16" t="str">
        <x:v>2019-08-20—2019-08-29</x:v>
      </x:c>
      <x:c r="F339" s="16" t="str">
        <x:v>奥帕蒂亚，克罗地亚</x:v>
      </x:c>
      <x:c r="G339" s="16" t="str">
        <x:v>第6届世界青年公开锦标赛</x:v>
      </x:c>
      <x:c r="H339" s="16" t="str">
        <x:v>U26 Women Pairs</x:v>
      </x:c>
      <x:c r="I339" s="16" t="n">
        <x:v>3</x:v>
      </x:c>
      <x:c r="J339" s="16" t="str">
        <x:v>铜牌</x:v>
      </x:c>
      <x:c r="K339" s="16" t="str">
        <x:v>Yijia Lu – Chenyun Ge</x:v>
      </x:c>
      <x:c r="L339" s="16" t="str">
        <x:v>https://www.worldbridge.org/2019/08/6th-world-youth-open-championships-the-pairs-winners/</x:v>
      </x:c>
    </x:row>
    <x:row r="340">
      <x:c r="A340" s="35" t="str">
        <x:v>WBF-072</x:v>
      </x:c>
      <x:c r="B340" s="35" t="str">
        <x:v>Chenyun Ge</x:v>
      </x:c>
      <x:c r="C340" s="35" t="str"/>
      <x:c r="D340" s="35" t="str">
        <x:v>未核实中文写法（最佳猜测及依据见专表）</x:v>
      </x:c>
      <x:c r="E340" s="35" t="str">
        <x:v>2019-08-20—2019-08-29</x:v>
      </x:c>
      <x:c r="F340" s="35" t="str">
        <x:v>奥帕蒂亚，克罗地亚</x:v>
      </x:c>
      <x:c r="G340" s="35" t="str">
        <x:v>第6届世界青年公开锦标赛</x:v>
      </x:c>
      <x:c r="H340" s="35" t="str">
        <x:v>U26 Women Pairs</x:v>
      </x:c>
      <x:c r="I340" s="35" t="n">
        <x:v>3</x:v>
      </x:c>
      <x:c r="J340" s="35" t="str">
        <x:v>铜牌</x:v>
      </x:c>
      <x:c r="K340" s="35" t="str">
        <x:v>Yijia Lu – Chenyun Ge</x:v>
      </x:c>
      <x:c r="L340" s="35" t="str">
        <x:v>https://www.worldbridge.org/2019/08/6th-world-youth-open-championships-the-pairs-winners/</x:v>
      </x:c>
    </x:row>
    <x:row r="341">
      <x:c r="A341" s="16" t="str">
        <x:v>WBF-073</x:v>
      </x:c>
      <x:c r="B341" s="16" t="str">
        <x:v>Yunpeng Chen</x:v>
      </x:c>
      <x:c r="C341" s="16" t="str"/>
      <x:c r="D341" s="16" t="str">
        <x:v>未核实中文写法（最佳猜测及依据见专表）</x:v>
      </x:c>
      <x:c r="E341" s="16" t="str">
        <x:v>2019-08-20—2019-08-29</x:v>
      </x:c>
      <x:c r="F341" s="16" t="str">
        <x:v>奥帕蒂亚，克罗地亚</x:v>
      </x:c>
      <x:c r="G341" s="16" t="str">
        <x:v>第6届世界青年公开锦标赛</x:v>
      </x:c>
      <x:c r="H341" s="16" t="str">
        <x:v>U26 Women Teams</x:v>
      </x:c>
      <x:c r="I341" s="16" t="n">
        <x:v>2</x:v>
      </x:c>
      <x:c r="J341" s="16" t="str">
        <x:v>银牌</x:v>
      </x:c>
      <x:c r="K341" s="16" t="str">
        <x:v>SXPEONY</x:v>
      </x:c>
      <x:c r="L341" s="16" t="str">
        <x:v>https://www.worldbridge.org/2019/08/6th-world-youth-open-championships-the-teams-and-bam-winners/</x:v>
      </x:c>
    </x:row>
    <x:row r="342">
      <x:c r="A342" s="35" t="str">
        <x:v>WBF-073</x:v>
      </x:c>
      <x:c r="B342" s="35" t="str">
        <x:v>Chenyun Ge</x:v>
      </x:c>
      <x:c r="C342" s="35" t="str"/>
      <x:c r="D342" s="35" t="str">
        <x:v>未核实中文写法（最佳猜测及依据见专表）</x:v>
      </x:c>
      <x:c r="E342" s="35" t="str">
        <x:v>2019-08-20—2019-08-29</x:v>
      </x:c>
      <x:c r="F342" s="35" t="str">
        <x:v>奥帕蒂亚，克罗地亚</x:v>
      </x:c>
      <x:c r="G342" s="35" t="str">
        <x:v>第6届世界青年公开锦标赛</x:v>
      </x:c>
      <x:c r="H342" s="35" t="str">
        <x:v>U26 Women Teams</x:v>
      </x:c>
      <x:c r="I342" s="35" t="n">
        <x:v>2</x:v>
      </x:c>
      <x:c r="J342" s="35" t="str">
        <x:v>银牌</x:v>
      </x:c>
      <x:c r="K342" s="35" t="str">
        <x:v>SXPEONY</x:v>
      </x:c>
      <x:c r="L342" s="35" t="str">
        <x:v>https://www.worldbridge.org/2019/08/6th-world-youth-open-championships-the-teams-and-bam-winners/</x:v>
      </x:c>
    </x:row>
    <x:row r="343">
      <x:c r="A343" s="16" t="str">
        <x:v>WBF-073</x:v>
      </x:c>
      <x:c r="B343" s="16" t="str">
        <x:v>Yijia Lu</x:v>
      </x:c>
      <x:c r="C343" s="16" t="str"/>
      <x:c r="D343" s="16" t="str">
        <x:v>未核实中文写法（最佳猜测及依据见专表）</x:v>
      </x:c>
      <x:c r="E343" s="16" t="str">
        <x:v>2019-08-20—2019-08-29</x:v>
      </x:c>
      <x:c r="F343" s="16" t="str">
        <x:v>奥帕蒂亚，克罗地亚</x:v>
      </x:c>
      <x:c r="G343" s="16" t="str">
        <x:v>第6届世界青年公开锦标赛</x:v>
      </x:c>
      <x:c r="H343" s="16" t="str">
        <x:v>U26 Women Teams</x:v>
      </x:c>
      <x:c r="I343" s="16" t="n">
        <x:v>2</x:v>
      </x:c>
      <x:c r="J343" s="16" t="str">
        <x:v>银牌</x:v>
      </x:c>
      <x:c r="K343" s="16" t="str">
        <x:v>SXPEONY</x:v>
      </x:c>
      <x:c r="L343" s="16" t="str">
        <x:v>https://www.worldbridge.org/2019/08/6th-world-youth-open-championships-the-teams-and-bam-winners/</x:v>
      </x:c>
    </x:row>
    <x:row r="344">
      <x:c r="A344" s="35" t="str">
        <x:v>WBF-073</x:v>
      </x:c>
      <x:c r="B344" s="35" t="str">
        <x:v>Xinyao Ruan</x:v>
      </x:c>
      <x:c r="C344" s="35" t="str"/>
      <x:c r="D344" s="35" t="str">
        <x:v>未核实中文写法（最佳猜测及依据见专表）</x:v>
      </x:c>
      <x:c r="E344" s="35" t="str">
        <x:v>2019-08-20—2019-08-29</x:v>
      </x:c>
      <x:c r="F344" s="35" t="str">
        <x:v>奥帕蒂亚，克罗地亚</x:v>
      </x:c>
      <x:c r="G344" s="35" t="str">
        <x:v>第6届世界青年公开锦标赛</x:v>
      </x:c>
      <x:c r="H344" s="35" t="str">
        <x:v>U26 Women Teams</x:v>
      </x:c>
      <x:c r="I344" s="35" t="n">
        <x:v>2</x:v>
      </x:c>
      <x:c r="J344" s="35" t="str">
        <x:v>银牌</x:v>
      </x:c>
      <x:c r="K344" s="35" t="str">
        <x:v>SXPEONY</x:v>
      </x:c>
      <x:c r="L344" s="35" t="str">
        <x:v>https://www.worldbridge.org/2019/08/6th-world-youth-open-championships-the-teams-and-bam-winners/</x:v>
      </x:c>
    </x:row>
    <x:row r="345">
      <x:c r="A345" s="16" t="str">
        <x:v>WBF-073</x:v>
      </x:c>
      <x:c r="B345" s="16" t="str">
        <x:v>Jiaming Xu</x:v>
      </x:c>
      <x:c r="C345" s="16" t="str"/>
      <x:c r="D345" s="16" t="str">
        <x:v>未核实中文写法（最佳猜测及依据见专表）</x:v>
      </x:c>
      <x:c r="E345" s="16" t="str">
        <x:v>2019-08-20—2019-08-29</x:v>
      </x:c>
      <x:c r="F345" s="16" t="str">
        <x:v>奥帕蒂亚，克罗地亚</x:v>
      </x:c>
      <x:c r="G345" s="16" t="str">
        <x:v>第6届世界青年公开锦标赛</x:v>
      </x:c>
      <x:c r="H345" s="16" t="str">
        <x:v>U26 Women Teams</x:v>
      </x:c>
      <x:c r="I345" s="16" t="n">
        <x:v>2</x:v>
      </x:c>
      <x:c r="J345" s="16" t="str">
        <x:v>银牌</x:v>
      </x:c>
      <x:c r="K345" s="16" t="str">
        <x:v>SXPEONY</x:v>
      </x:c>
      <x:c r="L345" s="16" t="str">
        <x:v>https://www.worldbridge.org/2019/08/6th-world-youth-open-championships-the-teams-and-bam-winners/</x:v>
      </x:c>
    </x:row>
    <x:row r="346">
      <x:c r="A346" s="35" t="str">
        <x:v>WBF-073</x:v>
      </x:c>
      <x:c r="B346" s="35" t="str">
        <x:v>Wenfei Yu</x:v>
      </x:c>
      <x:c r="C346" s="35" t="str"/>
      <x:c r="D346" s="35" t="str">
        <x:v>未核实中文写法（最佳猜测及依据见专表）</x:v>
      </x:c>
      <x:c r="E346" s="35" t="str">
        <x:v>2019-08-20—2019-08-29</x:v>
      </x:c>
      <x:c r="F346" s="35" t="str">
        <x:v>奥帕蒂亚，克罗地亚</x:v>
      </x:c>
      <x:c r="G346" s="35" t="str">
        <x:v>第6届世界青年公开锦标赛</x:v>
      </x:c>
      <x:c r="H346" s="35" t="str">
        <x:v>U26 Women Teams</x:v>
      </x:c>
      <x:c r="I346" s="35" t="n">
        <x:v>2</x:v>
      </x:c>
      <x:c r="J346" s="35" t="str">
        <x:v>银牌</x:v>
      </x:c>
      <x:c r="K346" s="35" t="str">
        <x:v>SXPEONY</x:v>
      </x:c>
      <x:c r="L346" s="35" t="str">
        <x:v>https://www.worldbridge.org/2019/08/6th-world-youth-open-championships-the-teams-and-bam-winners/</x:v>
      </x:c>
    </x:row>
    <x:row r="347">
      <x:c r="A347" s="16" t="str">
        <x:v>WBF-074</x:v>
      </x:c>
      <x:c r="B347" s="16" t="str">
        <x:v>Hanyang Dai</x:v>
      </x:c>
      <x:c r="C347" s="16" t="str"/>
      <x:c r="D347" s="16" t="str">
        <x:v>未核实中文写法（最佳猜测及依据见专表）</x:v>
      </x:c>
      <x:c r="E347" s="16" t="str">
        <x:v>2019-08-20—2019-08-29</x:v>
      </x:c>
      <x:c r="F347" s="16" t="str">
        <x:v>奥帕蒂亚，克罗地亚</x:v>
      </x:c>
      <x:c r="G347" s="16" t="str">
        <x:v>第6届世界青年公开锦标赛</x:v>
      </x:c>
      <x:c r="H347" s="16" t="str">
        <x:v>Youth BAM</x:v>
      </x:c>
      <x:c r="I347" s="16" t="n">
        <x:v>3</x:v>
      </x:c>
      <x:c r="J347" s="16" t="str">
        <x:v>铜牌</x:v>
      </x:c>
      <x:c r="K347" s="16" t="str">
        <x:v>SXNEBULA</x:v>
      </x:c>
      <x:c r="L347" s="16" t="str">
        <x:v>https://www.worldbridge.org/2019/08/6th-world-youth-open-championships-the-teams-and-bam-winners/</x:v>
      </x:c>
    </x:row>
    <x:row r="348">
      <x:c r="A348" s="35" t="str">
        <x:v>WBF-074</x:v>
      </x:c>
      <x:c r="B348" s="35" t="str">
        <x:v>Penghao Wang</x:v>
      </x:c>
      <x:c r="C348" s="35" t="str"/>
      <x:c r="D348" s="35" t="str">
        <x:v>未核实中文写法（最佳猜测及依据见专表）</x:v>
      </x:c>
      <x:c r="E348" s="35" t="str">
        <x:v>2019-08-20—2019-08-29</x:v>
      </x:c>
      <x:c r="F348" s="35" t="str">
        <x:v>奥帕蒂亚，克罗地亚</x:v>
      </x:c>
      <x:c r="G348" s="35" t="str">
        <x:v>第6届世界青年公开锦标赛</x:v>
      </x:c>
      <x:c r="H348" s="35" t="str">
        <x:v>Youth BAM</x:v>
      </x:c>
      <x:c r="I348" s="35" t="n">
        <x:v>3</x:v>
      </x:c>
      <x:c r="J348" s="35" t="str">
        <x:v>铜牌</x:v>
      </x:c>
      <x:c r="K348" s="35" t="str">
        <x:v>SXNEBULA</x:v>
      </x:c>
      <x:c r="L348" s="35" t="str">
        <x:v>https://www.worldbridge.org/2019/08/6th-world-youth-open-championships-the-teams-and-bam-winners/</x:v>
      </x:c>
    </x:row>
    <x:row r="349">
      <x:c r="A349" s="16" t="str">
        <x:v>WBF-074</x:v>
      </x:c>
      <x:c r="B349" s="16" t="str">
        <x:v>Yingqi Wang</x:v>
      </x:c>
      <x:c r="C349" s="16" t="str"/>
      <x:c r="D349" s="16" t="str">
        <x:v>未核实中文写法（最佳猜测及依据见专表）</x:v>
      </x:c>
      <x:c r="E349" s="16" t="str">
        <x:v>2019-08-20—2019-08-29</x:v>
      </x:c>
      <x:c r="F349" s="16" t="str">
        <x:v>奥帕蒂亚，克罗地亚</x:v>
      </x:c>
      <x:c r="G349" s="16" t="str">
        <x:v>第6届世界青年公开锦标赛</x:v>
      </x:c>
      <x:c r="H349" s="16" t="str">
        <x:v>Youth BAM</x:v>
      </x:c>
      <x:c r="I349" s="16" t="n">
        <x:v>3</x:v>
      </x:c>
      <x:c r="J349" s="16" t="str">
        <x:v>铜牌</x:v>
      </x:c>
      <x:c r="K349" s="16" t="str">
        <x:v>SXNEBULA</x:v>
      </x:c>
      <x:c r="L349" s="16" t="str">
        <x:v>https://www.worldbridge.org/2019/08/6th-world-youth-open-championships-the-teams-and-bam-winners/</x:v>
      </x:c>
    </x:row>
    <x:row r="350">
      <x:c r="A350" s="35" t="str">
        <x:v>WBF-074</x:v>
      </x:c>
      <x:c r="B350" s="35" t="str">
        <x:v>Hao Xu</x:v>
      </x:c>
      <x:c r="C350" s="35" t="str"/>
      <x:c r="D350" s="35" t="str">
        <x:v>未核实中文写法（最佳猜测及依据见专表）</x:v>
      </x:c>
      <x:c r="E350" s="35" t="str">
        <x:v>2019-08-20—2019-08-29</x:v>
      </x:c>
      <x:c r="F350" s="35" t="str">
        <x:v>奥帕蒂亚，克罗地亚</x:v>
      </x:c>
      <x:c r="G350" s="35" t="str">
        <x:v>第6届世界青年公开锦标赛</x:v>
      </x:c>
      <x:c r="H350" s="35" t="str">
        <x:v>Youth BAM</x:v>
      </x:c>
      <x:c r="I350" s="35" t="n">
        <x:v>3</x:v>
      </x:c>
      <x:c r="J350" s="35" t="str">
        <x:v>铜牌</x:v>
      </x:c>
      <x:c r="K350" s="35" t="str">
        <x:v>SXNEBULA</x:v>
      </x:c>
      <x:c r="L350" s="35" t="str">
        <x:v>https://www.worldbridge.org/2019/08/6th-world-youth-open-championships-the-teams-and-bam-winners/</x:v>
      </x:c>
    </x:row>
    <x:row r="351">
      <x:c r="A351" s="16" t="str">
        <x:v>WBF-074</x:v>
      </x:c>
      <x:c r="B351" s="16" t="str">
        <x:v>Tianyao Yan</x:v>
      </x:c>
      <x:c r="C351" s="16" t="str"/>
      <x:c r="D351" s="16" t="str">
        <x:v>未核实中文写法（最佳猜测及依据见专表）</x:v>
      </x:c>
      <x:c r="E351" s="16" t="str">
        <x:v>2019-08-20—2019-08-29</x:v>
      </x:c>
      <x:c r="F351" s="16" t="str">
        <x:v>奥帕蒂亚，克罗地亚</x:v>
      </x:c>
      <x:c r="G351" s="16" t="str">
        <x:v>第6届世界青年公开锦标赛</x:v>
      </x:c>
      <x:c r="H351" s="16" t="str">
        <x:v>Youth BAM</x:v>
      </x:c>
      <x:c r="I351" s="16" t="n">
        <x:v>3</x:v>
      </x:c>
      <x:c r="J351" s="16" t="str">
        <x:v>铜牌</x:v>
      </x:c>
      <x:c r="K351" s="16" t="str">
        <x:v>SXNEBULA</x:v>
      </x:c>
      <x:c r="L351" s="16" t="str">
        <x:v>https://www.worldbridge.org/2019/08/6th-world-youth-open-championships-the-teams-and-bam-winners/</x:v>
      </x:c>
    </x:row>
    <x:row r="352">
      <x:c r="A352" s="35" t="str">
        <x:v>WBF-074</x:v>
      </x:c>
      <x:c r="B352" s="35" t="str">
        <x:v>Jiahao Yang</x:v>
      </x:c>
      <x:c r="C352" s="35" t="str"/>
      <x:c r="D352" s="35" t="str">
        <x:v>未核实中文写法（最佳猜测及依据见专表）</x:v>
      </x:c>
      <x:c r="E352" s="35" t="str">
        <x:v>2019-08-20—2019-08-29</x:v>
      </x:c>
      <x:c r="F352" s="35" t="str">
        <x:v>奥帕蒂亚，克罗地亚</x:v>
      </x:c>
      <x:c r="G352" s="35" t="str">
        <x:v>第6届世界青年公开锦标赛</x:v>
      </x:c>
      <x:c r="H352" s="35" t="str">
        <x:v>Youth BAM</x:v>
      </x:c>
      <x:c r="I352" s="35" t="n">
        <x:v>3</x:v>
      </x:c>
      <x:c r="J352" s="35" t="str">
        <x:v>铜牌</x:v>
      </x:c>
      <x:c r="K352" s="35" t="str">
        <x:v>SXNEBULA</x:v>
      </x:c>
      <x:c r="L352" s="35" t="str">
        <x:v>https://www.worldbridge.org/2019/08/6th-world-youth-open-championships-the-teams-and-bam-winners/</x:v>
      </x:c>
    </x:row>
    <x:row r="353">
      <x:c r="A353" s="16" t="str">
        <x:v>WBF-075</x:v>
      </x:c>
      <x:c r="B353" s="16" t="str">
        <x:v>Shaolin Sun</x:v>
      </x:c>
      <x:c r="C353" s="16" t="str"/>
      <x:c r="D353" s="16" t="str">
        <x:v>未核实中文写法（最佳猜测及依据见专表）</x:v>
      </x:c>
      <x:c r="E353" s="16" t="str">
        <x:v>2019-09</x:v>
      </x:c>
      <x:c r="F353" s="16" t="str">
        <x:v>武汉，中国</x:v>
      </x:c>
      <x:c r="G353" s="16" t="str">
        <x:v>世界桥牌团体锦标赛</x:v>
      </x:c>
      <x:c r="H353" s="16" t="str">
        <x:v>Transnational Open Teams 跨国公开团体</x:v>
      </x:c>
      <x:c r="I353" s="16" t="n">
        <x:v>1</x:v>
      </x:c>
      <x:c r="J353" s="16" t="str">
        <x:v>金牌</x:v>
      </x:c>
      <x:c r="K353" s="16" t="str">
        <x:v>CHINA</x:v>
      </x:c>
      <x:c r="L353" s="16" t="str">
        <x:v>https://www.wbfmasterpoints.com/Medalsreport.asp</x:v>
      </x:c>
    </x:row>
    <x:row r="354">
      <x:c r="A354" s="35" t="str">
        <x:v>WBF-075</x:v>
      </x:c>
      <x:c r="B354" s="35" t="str">
        <x:v>Yong Lian</x:v>
      </x:c>
      <x:c r="C354" s="35" t="str"/>
      <x:c r="D354" s="35" t="str">
        <x:v>未核实中文写法（最佳猜测及依据见专表）</x:v>
      </x:c>
      <x:c r="E354" s="35" t="str">
        <x:v>2019-09</x:v>
      </x:c>
      <x:c r="F354" s="35" t="str">
        <x:v>武汉，中国</x:v>
      </x:c>
      <x:c r="G354" s="35" t="str">
        <x:v>世界桥牌团体锦标赛</x:v>
      </x:c>
      <x:c r="H354" s="35" t="str">
        <x:v>Transnational Open Teams 跨国公开团体</x:v>
      </x:c>
      <x:c r="I354" s="35" t="n">
        <x:v>1</x:v>
      </x:c>
      <x:c r="J354" s="35" t="str">
        <x:v>金牌</x:v>
      </x:c>
      <x:c r="K354" s="35" t="str">
        <x:v>CHINA</x:v>
      </x:c>
      <x:c r="L354" s="35" t="str">
        <x:v>https://www.wbfmasterpoints.com/Medalsreport.asp</x:v>
      </x:c>
    </x:row>
    <x:row r="355">
      <x:c r="A355" s="16" t="str">
        <x:v>WBF-075</x:v>
      </x:c>
      <x:c r="B355" s="16" t="str">
        <x:v>Yong Chen</x:v>
      </x:c>
      <x:c r="C355" s="16" t="str"/>
      <x:c r="D355" s="16" t="str">
        <x:v>未核实中文写法（最佳猜测及依据见专表）</x:v>
      </x:c>
      <x:c r="E355" s="16" t="str">
        <x:v>2019-09</x:v>
      </x:c>
      <x:c r="F355" s="16" t="str">
        <x:v>武汉，中国</x:v>
      </x:c>
      <x:c r="G355" s="16" t="str">
        <x:v>世界桥牌团体锦标赛</x:v>
      </x:c>
      <x:c r="H355" s="16" t="str">
        <x:v>Transnational Open Teams 跨国公开团体</x:v>
      </x:c>
      <x:c r="I355" s="16" t="n">
        <x:v>1</x:v>
      </x:c>
      <x:c r="J355" s="16" t="str">
        <x:v>金牌</x:v>
      </x:c>
      <x:c r="K355" s="16" t="str">
        <x:v>CHINA</x:v>
      </x:c>
      <x:c r="L355" s="16" t="str">
        <x:v>https://www.wbfmasterpoints.com/Medalsreport.asp</x:v>
      </x:c>
    </x:row>
    <x:row r="356">
      <x:c r="A356" s="35" t="str">
        <x:v>WBF-075</x:v>
      </x:c>
      <x:c r="B356" s="35" t="str">
        <x:v>Yide Luo</x:v>
      </x:c>
      <x:c r="C356" s="35" t="str"/>
      <x:c r="D356" s="35" t="str">
        <x:v>未核实中文写法（最佳猜测及依据见专表）</x:v>
      </x:c>
      <x:c r="E356" s="35" t="str">
        <x:v>2019-09</x:v>
      </x:c>
      <x:c r="F356" s="35" t="str">
        <x:v>武汉，中国</x:v>
      </x:c>
      <x:c r="G356" s="35" t="str">
        <x:v>世界桥牌团体锦标赛</x:v>
      </x:c>
      <x:c r="H356" s="35" t="str">
        <x:v>Transnational Open Teams 跨国公开团体</x:v>
      </x:c>
      <x:c r="I356" s="35" t="n">
        <x:v>1</x:v>
      </x:c>
      <x:c r="J356" s="35" t="str">
        <x:v>金牌</x:v>
      </x:c>
      <x:c r="K356" s="35" t="str">
        <x:v>CHINA</x:v>
      </x:c>
      <x:c r="L356" s="35" t="str">
        <x:v>https://www.wbfmasterpoints.com/Medalsreport.asp</x:v>
      </x:c>
    </x:row>
    <x:row r="357">
      <x:c r="A357" s="16" t="str">
        <x:v>WBF-075</x:v>
      </x:c>
      <x:c r="B357" s="16" t="str">
        <x:v>Xiaoguang Yu</x:v>
      </x:c>
      <x:c r="C357" s="16" t="str"/>
      <x:c r="D357" s="16" t="str">
        <x:v>未核实中文写法（最佳猜测及依据见专表）</x:v>
      </x:c>
      <x:c r="E357" s="16" t="str">
        <x:v>2019-09</x:v>
      </x:c>
      <x:c r="F357" s="16" t="str">
        <x:v>武汉，中国</x:v>
      </x:c>
      <x:c r="G357" s="16" t="str">
        <x:v>世界桥牌团体锦标赛</x:v>
      </x:c>
      <x:c r="H357" s="16" t="str">
        <x:v>Transnational Open Teams 跨国公开团体</x:v>
      </x:c>
      <x:c r="I357" s="16" t="n">
        <x:v>1</x:v>
      </x:c>
      <x:c r="J357" s="16" t="str">
        <x:v>金牌</x:v>
      </x:c>
      <x:c r="K357" s="16" t="str">
        <x:v>CHINA</x:v>
      </x:c>
      <x:c r="L357" s="16" t="str">
        <x:v>https://www.wbfmasterpoints.com/Medalsreport.asp</x:v>
      </x:c>
    </x:row>
    <x:row r="358">
      <x:c r="A358" s="35" t="str">
        <x:v>WBF-075</x:v>
      </x:c>
      <x:c r="B358" s="35" t="str">
        <x:v>Shengle Zhang</x:v>
      </x:c>
      <x:c r="C358" s="35" t="str"/>
      <x:c r="D358" s="35" t="str">
        <x:v>未核实中文写法（最佳猜测及依据见专表）</x:v>
      </x:c>
      <x:c r="E358" s="35" t="str">
        <x:v>2019-09</x:v>
      </x:c>
      <x:c r="F358" s="35" t="str">
        <x:v>武汉，中国</x:v>
      </x:c>
      <x:c r="G358" s="35" t="str">
        <x:v>世界桥牌团体锦标赛</x:v>
      </x:c>
      <x:c r="H358" s="35" t="str">
        <x:v>Transnational Open Teams 跨国公开团体</x:v>
      </x:c>
      <x:c r="I358" s="35" t="n">
        <x:v>1</x:v>
      </x:c>
      <x:c r="J358" s="35" t="str">
        <x:v>金牌</x:v>
      </x:c>
      <x:c r="K358" s="35" t="str">
        <x:v>CHINA</x:v>
      </x:c>
      <x:c r="L358" s="35" t="str">
        <x:v>https://www.wbfmasterpoints.com/Medalsreport.asp</x:v>
      </x:c>
    </x:row>
    <x:row r="359">
      <x:c r="A359" s="16" t="str">
        <x:v>WBF-076</x:v>
      </x:c>
      <x:c r="B359" s="16" t="str">
        <x:v>Hongbin Su</x:v>
      </x:c>
      <x:c r="C359" s="16" t="str"/>
      <x:c r="D359" s="16" t="str">
        <x:v>未核实中文写法（最佳猜测及依据见专表）</x:v>
      </x:c>
      <x:c r="E359" s="16" t="str">
        <x:v>2019-09</x:v>
      </x:c>
      <x:c r="F359" s="16" t="str">
        <x:v>武汉，中国</x:v>
      </x:c>
      <x:c r="G359" s="16" t="str">
        <x:v>世界桥牌团体锦标赛</x:v>
      </x:c>
      <x:c r="H359" s="16" t="str">
        <x:v>Transnational Open Teams 跨国公开团体</x:v>
      </x:c>
      <x:c r="I359" s="16" t="n">
        <x:v>2</x:v>
      </x:c>
      <x:c r="J359" s="16" t="str">
        <x:v>银牌</x:v>
      </x:c>
      <x:c r="K359" s="16" t="str">
        <x:v>CHINA</x:v>
      </x:c>
      <x:c r="L359" s="16" t="str">
        <x:v>https://www.wbfmasterpoints.com/Medalsreport.asp</x:v>
      </x:c>
    </x:row>
    <x:row r="360">
      <x:c r="A360" s="35" t="str">
        <x:v>WBF-076</x:v>
      </x:c>
      <x:c r="B360" s="35" t="str">
        <x:v>Rui Li</x:v>
      </x:c>
      <x:c r="C360" s="35" t="str"/>
      <x:c r="D360" s="35" t="str">
        <x:v>未核实中文写法（最佳猜测及依据见专表）</x:v>
      </x:c>
      <x:c r="E360" s="35" t="str">
        <x:v>2019-09</x:v>
      </x:c>
      <x:c r="F360" s="35" t="str">
        <x:v>武汉，中国</x:v>
      </x:c>
      <x:c r="G360" s="35" t="str">
        <x:v>世界桥牌团体锦标赛</x:v>
      </x:c>
      <x:c r="H360" s="35" t="str">
        <x:v>Transnational Open Teams 跨国公开团体</x:v>
      </x:c>
      <x:c r="I360" s="35" t="n">
        <x:v>2</x:v>
      </x:c>
      <x:c r="J360" s="35" t="str">
        <x:v>银牌</x:v>
      </x:c>
      <x:c r="K360" s="35" t="str">
        <x:v>CHINA</x:v>
      </x:c>
      <x:c r="L360" s="35" t="str">
        <x:v>https://www.wbfmasterpoints.com/Medalsreport.asp</x:v>
      </x:c>
    </x:row>
    <x:row r="361">
      <x:c r="A361" s="16" t="str">
        <x:v>WBF-076</x:v>
      </x:c>
      <x:c r="B361" s="16" t="str">
        <x:v>Shangjie Wu</x:v>
      </x:c>
      <x:c r="C361" s="16" t="str"/>
      <x:c r="D361" s="16" t="str">
        <x:v>未核实中文写法（最佳猜测及依据见专表）</x:v>
      </x:c>
      <x:c r="E361" s="16" t="str">
        <x:v>2019-09</x:v>
      </x:c>
      <x:c r="F361" s="16" t="str">
        <x:v>武汉，中国</x:v>
      </x:c>
      <x:c r="G361" s="16" t="str">
        <x:v>世界桥牌团体锦标赛</x:v>
      </x:c>
      <x:c r="H361" s="16" t="str">
        <x:v>Transnational Open Teams 跨国公开团体</x:v>
      </x:c>
      <x:c r="I361" s="16" t="n">
        <x:v>2</x:v>
      </x:c>
      <x:c r="J361" s="16" t="str">
        <x:v>银牌</x:v>
      </x:c>
      <x:c r="K361" s="16" t="str">
        <x:v>CHINA</x:v>
      </x:c>
      <x:c r="L361" s="16" t="str">
        <x:v>https://www.wbfmasterpoints.com/Medalsreport.asp</x:v>
      </x:c>
    </x:row>
    <x:row r="362">
      <x:c r="A362" s="35" t="str">
        <x:v>WBF-076</x:v>
      </x:c>
      <x:c r="B362" s="35" t="str">
        <x:v>Huibo Jiang</x:v>
      </x:c>
      <x:c r="C362" s="35" t="str"/>
      <x:c r="D362" s="35" t="str">
        <x:v>未核实中文写法（最佳猜测及依据见专表）</x:v>
      </x:c>
      <x:c r="E362" s="35" t="str">
        <x:v>2019-09</x:v>
      </x:c>
      <x:c r="F362" s="35" t="str">
        <x:v>武汉，中国</x:v>
      </x:c>
      <x:c r="G362" s="35" t="str">
        <x:v>世界桥牌团体锦标赛</x:v>
      </x:c>
      <x:c r="H362" s="35" t="str">
        <x:v>Transnational Open Teams 跨国公开团体</x:v>
      </x:c>
      <x:c r="I362" s="35" t="n">
        <x:v>2</x:v>
      </x:c>
      <x:c r="J362" s="35" t="str">
        <x:v>银牌</x:v>
      </x:c>
      <x:c r="K362" s="35" t="str">
        <x:v>CHINA</x:v>
      </x:c>
      <x:c r="L362" s="35" t="str">
        <x:v>https://www.wbfmasterpoints.com/Medalsreport.asp</x:v>
      </x:c>
    </x:row>
    <x:row r="363">
      <x:c r="A363" s="16" t="str">
        <x:v>WBF-076</x:v>
      </x:c>
      <x:c r="B363" s="16" t="str">
        <x:v>Guofang Xin</x:v>
      </x:c>
      <x:c r="C363" s="16" t="str"/>
      <x:c r="D363" s="16" t="str">
        <x:v>未核实中文写法（最佳猜测及依据见专表）</x:v>
      </x:c>
      <x:c r="E363" s="16" t="str">
        <x:v>2019-09</x:v>
      </x:c>
      <x:c r="F363" s="16" t="str">
        <x:v>武汉，中国</x:v>
      </x:c>
      <x:c r="G363" s="16" t="str">
        <x:v>世界桥牌团体锦标赛</x:v>
      </x:c>
      <x:c r="H363" s="16" t="str">
        <x:v>Transnational Open Teams 跨国公开团体</x:v>
      </x:c>
      <x:c r="I363" s="16" t="n">
        <x:v>2</x:v>
      </x:c>
      <x:c r="J363" s="16" t="str">
        <x:v>银牌</x:v>
      </x:c>
      <x:c r="K363" s="16" t="str">
        <x:v>CHINA</x:v>
      </x:c>
      <x:c r="L363" s="16" t="str">
        <x:v>https://www.wbfmasterpoints.com/Medalsreport.asp</x:v>
      </x:c>
    </x:row>
    <x:row r="364">
      <x:c r="A364" s="35" t="str">
        <x:v>WBF-076</x:v>
      </x:c>
      <x:c r="B364" s="35" t="str">
        <x:v>Siyuan Shen</x:v>
      </x:c>
      <x:c r="C364" s="35" t="str"/>
      <x:c r="D364" s="35" t="str">
        <x:v>未核实中文写法（最佳猜测及依据见专表）</x:v>
      </x:c>
      <x:c r="E364" s="35" t="str">
        <x:v>2019-09</x:v>
      </x:c>
      <x:c r="F364" s="35" t="str">
        <x:v>武汉，中国</x:v>
      </x:c>
      <x:c r="G364" s="35" t="str">
        <x:v>世界桥牌团体锦标赛</x:v>
      </x:c>
      <x:c r="H364" s="35" t="str">
        <x:v>Transnational Open Teams 跨国公开团体</x:v>
      </x:c>
      <x:c r="I364" s="35" t="n">
        <x:v>2</x:v>
      </x:c>
      <x:c r="J364" s="35" t="str">
        <x:v>银牌</x:v>
      </x:c>
      <x:c r="K364" s="35" t="str">
        <x:v>CHINA</x:v>
      </x:c>
      <x:c r="L364" s="35" t="str">
        <x:v>https://www.wbfmasterpoints.com/Medalsreport.asp</x:v>
      </x:c>
    </x:row>
    <x:row r="365">
      <x:c r="A365" s="16" t="str">
        <x:v>WBF-077</x:v>
      </x:c>
      <x:c r="B365" s="16" t="str">
        <x:v>Yan Huang</x:v>
      </x:c>
      <x:c r="C365" s="16" t="str"/>
      <x:c r="D365" s="16" t="str">
        <x:v>未核实中文写法（最佳猜测及依据见专表）</x:v>
      </x:c>
      <x:c r="E365" s="16" t="str">
        <x:v>2019-09</x:v>
      </x:c>
      <x:c r="F365" s="16" t="str">
        <x:v>武汉，中国</x:v>
      </x:c>
      <x:c r="G365" s="16" t="str">
        <x:v>世界桥牌团体锦标赛</x:v>
      </x:c>
      <x:c r="H365" s="16" t="str">
        <x:v>Transnational Open Teams 跨国公开团体</x:v>
      </x:c>
      <x:c r="I365" s="16" t="n">
        <x:v>3</x:v>
      </x:c>
      <x:c r="J365" s="16" t="str">
        <x:v>铜牌</x:v>
      </x:c>
      <x:c r="K365" s="16" t="str">
        <x:v>CHINA</x:v>
      </x:c>
      <x:c r="L365" s="16" t="str">
        <x:v>https://www.wbfmasterpoints.com/Medalsreport.asp</x:v>
      </x:c>
    </x:row>
    <x:row r="366">
      <x:c r="A366" s="35" t="str">
        <x:v>WBF-077</x:v>
      </x:c>
      <x:c r="B366" s="35" t="str">
        <x:v>Li Xin Yang</x:v>
      </x:c>
      <x:c r="C366" s="35" t="str"/>
      <x:c r="D366" s="35" t="str">
        <x:v>未核实中文写法（最佳猜测及依据见专表）</x:v>
      </x:c>
      <x:c r="E366" s="35" t="str">
        <x:v>2019-09</x:v>
      </x:c>
      <x:c r="F366" s="35" t="str">
        <x:v>武汉，中国</x:v>
      </x:c>
      <x:c r="G366" s="35" t="str">
        <x:v>世界桥牌团体锦标赛</x:v>
      </x:c>
      <x:c r="H366" s="35" t="str">
        <x:v>Transnational Open Teams 跨国公开团体</x:v>
      </x:c>
      <x:c r="I366" s="35" t="n">
        <x:v>3</x:v>
      </x:c>
      <x:c r="J366" s="35" t="str">
        <x:v>铜牌</x:v>
      </x:c>
      <x:c r="K366" s="35" t="str">
        <x:v>CHINA</x:v>
      </x:c>
      <x:c r="L366" s="35" t="str">
        <x:v>https://www.wbfmasterpoints.com/Medalsreport.asp</x:v>
      </x:c>
    </x:row>
    <x:row r="367">
      <x:c r="A367" s="16" t="str">
        <x:v>WBF-077</x:v>
      </x:c>
      <x:c r="B367" s="16" t="str">
        <x:v>Jian Ming Dai</x:v>
      </x:c>
      <x:c r="C367" s="16" t="str"/>
      <x:c r="D367" s="16" t="str">
        <x:v>未核实中文写法（最佳猜测及依据见专表）</x:v>
      </x:c>
      <x:c r="E367" s="16" t="str">
        <x:v>2019-09</x:v>
      </x:c>
      <x:c r="F367" s="16" t="str">
        <x:v>武汉，中国</x:v>
      </x:c>
      <x:c r="G367" s="16" t="str">
        <x:v>世界桥牌团体锦标赛</x:v>
      </x:c>
      <x:c r="H367" s="16" t="str">
        <x:v>Transnational Open Teams 跨国公开团体</x:v>
      </x:c>
      <x:c r="I367" s="16" t="n">
        <x:v>3</x:v>
      </x:c>
      <x:c r="J367" s="16" t="str">
        <x:v>铜牌</x:v>
      </x:c>
      <x:c r="K367" s="16" t="str">
        <x:v>CHINA</x:v>
      </x:c>
      <x:c r="L367" s="16" t="str">
        <x:v>https://www.wbfmasterpoints.com/Medalsreport.asp</x:v>
      </x:c>
    </x:row>
    <x:row r="368">
      <x:c r="A368" s="35" t="str">
        <x:v>WBF-077</x:v>
      </x:c>
      <x:c r="B368" s="35" t="str">
        <x:v>Jie Zhao</x:v>
      </x:c>
      <x:c r="C368" s="35" t="str">
        <x:v>赵杰</x:v>
      </x:c>
      <x:c r="D368" s="35" t="str">
        <x:v>已由中文报道核对</x:v>
      </x:c>
      <x:c r="E368" s="35" t="str">
        <x:v>2019-09</x:v>
      </x:c>
      <x:c r="F368" s="35" t="str">
        <x:v>武汉，中国</x:v>
      </x:c>
      <x:c r="G368" s="35" t="str">
        <x:v>世界桥牌团体锦标赛</x:v>
      </x:c>
      <x:c r="H368" s="35" t="str">
        <x:v>Transnational Open Teams 跨国公开团体</x:v>
      </x:c>
      <x:c r="I368" s="35" t="n">
        <x:v>3</x:v>
      </x:c>
      <x:c r="J368" s="35" t="str">
        <x:v>铜牌</x:v>
      </x:c>
      <x:c r="K368" s="35" t="str">
        <x:v>CHINA</x:v>
      </x:c>
      <x:c r="L368" s="35" t="str">
        <x:v>https://www.wbfmasterpoints.com/Medalsreport.asp</x:v>
      </x:c>
    </x:row>
    <x:row r="369">
      <x:c r="A369" s="16" t="str">
        <x:v>WBF-077</x:v>
      </x:c>
      <x:c r="B369" s="16" t="str">
        <x:v>Jing Rong Ran</x:v>
      </x:c>
      <x:c r="C369" s="16" t="str"/>
      <x:c r="D369" s="16" t="str">
        <x:v>未核实中文写法（最佳猜测及依据见专表）</x:v>
      </x:c>
      <x:c r="E369" s="16" t="str">
        <x:v>2019-09</x:v>
      </x:c>
      <x:c r="F369" s="16" t="str">
        <x:v>武汉，中国</x:v>
      </x:c>
      <x:c r="G369" s="16" t="str">
        <x:v>世界桥牌团体锦标赛</x:v>
      </x:c>
      <x:c r="H369" s="16" t="str">
        <x:v>Transnational Open Teams 跨国公开团体</x:v>
      </x:c>
      <x:c r="I369" s="16" t="n">
        <x:v>3</x:v>
      </x:c>
      <x:c r="J369" s="16" t="str">
        <x:v>铜牌</x:v>
      </x:c>
      <x:c r="K369" s="16" t="str">
        <x:v>CHINA</x:v>
      </x:c>
      <x:c r="L369" s="16" t="str">
        <x:v>https://www.wbfmasterpoints.com/Medalsreport.asp</x:v>
      </x:c>
    </x:row>
    <x:row r="370">
      <x:c r="A370" s="35" t="str">
        <x:v>WBF-077</x:v>
      </x:c>
      <x:c r="B370" s="35" t="str">
        <x:v>Yu Zhang</x:v>
      </x:c>
      <x:c r="C370" s="35" t="str"/>
      <x:c r="D370" s="35" t="str">
        <x:v>未核实中文写法（最佳猜测及依据见专表）</x:v>
      </x:c>
      <x:c r="E370" s="35" t="str">
        <x:v>2019-09</x:v>
      </x:c>
      <x:c r="F370" s="35" t="str">
        <x:v>武汉，中国</x:v>
      </x:c>
      <x:c r="G370" s="35" t="str">
        <x:v>世界桥牌团体锦标赛</x:v>
      </x:c>
      <x:c r="H370" s="35" t="str">
        <x:v>Transnational Open Teams 跨国公开团体</x:v>
      </x:c>
      <x:c r="I370" s="35" t="n">
        <x:v>3</x:v>
      </x:c>
      <x:c r="J370" s="35" t="str">
        <x:v>铜牌</x:v>
      </x:c>
      <x:c r="K370" s="35" t="str">
        <x:v>CHINA</x:v>
      </x:c>
      <x:c r="L370" s="35" t="str">
        <x:v>https://www.wbfmasterpoints.com/Medalsreport.asp</x:v>
      </x:c>
    </x:row>
    <x:row r="371">
      <x:c r="A371" s="16" t="str">
        <x:v>WBF-078</x:v>
      </x:c>
      <x:c r="B371" s="16" t="str">
        <x:v>Xiaoxue Zuo</x:v>
      </x:c>
      <x:c r="C371" s="16" t="str">
        <x:v>左晓雪</x:v>
      </x:c>
      <x:c r="D371" s="16" t="str">
        <x:v>已由中文报道核对</x:v>
      </x:c>
      <x:c r="E371" s="16" t="str">
        <x:v>2019-09</x:v>
      </x:c>
      <x:c r="F371" s="16" t="str">
        <x:v>武汉，中国</x:v>
      </x:c>
      <x:c r="G371" s="16" t="str">
        <x:v>世界桥牌团体锦标赛</x:v>
      </x:c>
      <x:c r="H371" s="16" t="str">
        <x:v>Venice Cup 女子团体</x:v>
      </x:c>
      <x:c r="I371" s="16" t="n">
        <x:v>2</x:v>
      </x:c>
      <x:c r="J371" s="16" t="str">
        <x:v>银牌</x:v>
      </x:c>
      <x:c r="K371" s="16" t="str">
        <x:v>CHINA</x:v>
      </x:c>
      <x:c r="L371" s="16" t="str">
        <x:v>https://www.wbfmasterpoints.com/Medalsreport.asp</x:v>
      </x:c>
    </x:row>
    <x:row r="372">
      <x:c r="A372" s="35" t="str">
        <x:v>WBF-078</x:v>
      </x:c>
      <x:c r="B372" s="35" t="str">
        <x:v>Yan Liu</x:v>
      </x:c>
      <x:c r="C372" s="35" t="str">
        <x:v>刘艳</x:v>
      </x:c>
      <x:c r="D372" s="35" t="str">
        <x:v>已由中文报道核对</x:v>
      </x:c>
      <x:c r="E372" s="35" t="str">
        <x:v>2019-09</x:v>
      </x:c>
      <x:c r="F372" s="35" t="str">
        <x:v>武汉，中国</x:v>
      </x:c>
      <x:c r="G372" s="35" t="str">
        <x:v>世界桥牌团体锦标赛</x:v>
      </x:c>
      <x:c r="H372" s="35" t="str">
        <x:v>Venice Cup 女子团体</x:v>
      </x:c>
      <x:c r="I372" s="35" t="n">
        <x:v>2</x:v>
      </x:c>
      <x:c r="J372" s="35" t="str">
        <x:v>银牌</x:v>
      </x:c>
      <x:c r="K372" s="35" t="str">
        <x:v>CHINA</x:v>
      </x:c>
      <x:c r="L372" s="35" t="str">
        <x:v>https://www.wbfmasterpoints.com/Medalsreport.asp</x:v>
      </x:c>
    </x:row>
    <x:row r="373">
      <x:c r="A373" s="16" t="str">
        <x:v>WBF-078</x:v>
      </x:c>
      <x:c r="B373" s="16" t="str">
        <x:v>Nan Wang</x:v>
      </x:c>
      <x:c r="C373" s="16" t="str">
        <x:v>王南</x:v>
      </x:c>
      <x:c r="D373" s="16" t="str">
        <x:v>已由中文报道核对</x:v>
      </x:c>
      <x:c r="E373" s="16" t="str">
        <x:v>2019-09</x:v>
      </x:c>
      <x:c r="F373" s="16" t="str">
        <x:v>武汉，中国</x:v>
      </x:c>
      <x:c r="G373" s="16" t="str">
        <x:v>世界桥牌团体锦标赛</x:v>
      </x:c>
      <x:c r="H373" s="16" t="str">
        <x:v>Venice Cup 女子团体</x:v>
      </x:c>
      <x:c r="I373" s="16" t="n">
        <x:v>2</x:v>
      </x:c>
      <x:c r="J373" s="16" t="str">
        <x:v>银牌</x:v>
      </x:c>
      <x:c r="K373" s="16" t="str">
        <x:v>CHINA</x:v>
      </x:c>
      <x:c r="L373" s="16" t="str">
        <x:v>https://www.wbfmasterpoints.com/Medalsreport.asp</x:v>
      </x:c>
    </x:row>
    <x:row r="374">
      <x:c r="A374" s="35" t="str">
        <x:v>WBF-078</x:v>
      </x:c>
      <x:c r="B374" s="35" t="str">
        <x:v>Qi Shen</x:v>
      </x:c>
      <x:c r="C374" s="35" t="str">
        <x:v>沈琦</x:v>
      </x:c>
      <x:c r="D374" s="35" t="str">
        <x:v>已由中文报道核对</x:v>
      </x:c>
      <x:c r="E374" s="35" t="str">
        <x:v>2019-09</x:v>
      </x:c>
      <x:c r="F374" s="35" t="str">
        <x:v>武汉，中国</x:v>
      </x:c>
      <x:c r="G374" s="35" t="str">
        <x:v>世界桥牌团体锦标赛</x:v>
      </x:c>
      <x:c r="H374" s="35" t="str">
        <x:v>Venice Cup 女子团体</x:v>
      </x:c>
      <x:c r="I374" s="35" t="n">
        <x:v>2</x:v>
      </x:c>
      <x:c r="J374" s="35" t="str">
        <x:v>银牌</x:v>
      </x:c>
      <x:c r="K374" s="35" t="str">
        <x:v>CHINA</x:v>
      </x:c>
      <x:c r="L374" s="35" t="str">
        <x:v>https://www.wbfmasterpoints.com/Medalsreport.asp</x:v>
      </x:c>
    </x:row>
    <x:row r="375">
      <x:c r="A375" s="16" t="str">
        <x:v>WBF-078</x:v>
      </x:c>
      <x:c r="B375" s="16" t="str">
        <x:v>Wen Fei Wang</x:v>
      </x:c>
      <x:c r="C375" s="16" t="str">
        <x:v>王文霏</x:v>
      </x:c>
      <x:c r="D375" s="16" t="str">
        <x:v>已由中文报道核对</x:v>
      </x:c>
      <x:c r="E375" s="16" t="str">
        <x:v>2019-09</x:v>
      </x:c>
      <x:c r="F375" s="16" t="str">
        <x:v>武汉，中国</x:v>
      </x:c>
      <x:c r="G375" s="16" t="str">
        <x:v>世界桥牌团体锦标赛</x:v>
      </x:c>
      <x:c r="H375" s="16" t="str">
        <x:v>Venice Cup 女子团体</x:v>
      </x:c>
      <x:c r="I375" s="16" t="n">
        <x:v>2</x:v>
      </x:c>
      <x:c r="J375" s="16" t="str">
        <x:v>银牌</x:v>
      </x:c>
      <x:c r="K375" s="16" t="str">
        <x:v>CHINA</x:v>
      </x:c>
      <x:c r="L375" s="16" t="str">
        <x:v>https://www.wbfmasterpoints.com/Medalsreport.asp</x:v>
      </x:c>
    </x:row>
    <x:row r="376">
      <x:c r="A376" s="35" t="str">
        <x:v>WBF-078</x:v>
      </x:c>
      <x:c r="B376" s="35" t="str">
        <x:v>Yan Lu</x:v>
      </x:c>
      <x:c r="C376" s="35" t="str">
        <x:v>卢燕</x:v>
      </x:c>
      <x:c r="D376" s="35" t="str">
        <x:v>已由中文报道核对</x:v>
      </x:c>
      <x:c r="E376" s="35" t="str">
        <x:v>2019-09</x:v>
      </x:c>
      <x:c r="F376" s="35" t="str">
        <x:v>武汉，中国</x:v>
      </x:c>
      <x:c r="G376" s="35" t="str">
        <x:v>世界桥牌团体锦标赛</x:v>
      </x:c>
      <x:c r="H376" s="35" t="str">
        <x:v>Venice Cup 女子团体</x:v>
      </x:c>
      <x:c r="I376" s="35" t="n">
        <x:v>2</x:v>
      </x:c>
      <x:c r="J376" s="35" t="str">
        <x:v>银牌</x:v>
      </x:c>
      <x:c r="K376" s="35" t="str">
        <x:v>CHINA</x:v>
      </x:c>
      <x:c r="L376" s="35" t="str">
        <x:v>https://www.wbfmasterpoints.com/Medalsreport.asp</x:v>
      </x:c>
    </x:row>
    <x:row r="377">
      <x:c r="A377" s="16" t="str">
        <x:v>WBF-101</x:v>
      </x:c>
      <x:c r="B377" s="16" t="str">
        <x:v>Sirui Chen</x:v>
      </x:c>
      <x:c r="C377" s="16" t="str"/>
      <x:c r="D377" s="16" t="str">
        <x:v>未核实中文写法（最佳猜测及依据见专表）</x:v>
      </x:c>
      <x:c r="E377" s="16" t="str">
        <x:v>2023-07-31—2023-08-07</x:v>
      </x:c>
      <x:c r="F377" s="16" t="str">
        <x:v>费尔德霍芬，荷兰</x:v>
      </x:c>
      <x:c r="G377" s="16" t="str">
        <x:v>第18届世界青年团体锦标赛</x:v>
      </x:c>
      <x:c r="H377" s="16" t="str">
        <x:v>U16 BAM</x:v>
      </x:c>
      <x:c r="I377" s="16" t="n">
        <x:v>1</x:v>
      </x:c>
      <x:c r="J377" s="16" t="str">
        <x:v>金牌</x:v>
      </x:c>
      <x:c r="K377" s="16" t="str">
        <x:v>CHINA</x:v>
      </x:c>
      <x:c r="L377"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row>
    <x:row r="378">
      <x:c r="A378" s="35" t="str">
        <x:v>WBF-101</x:v>
      </x:c>
      <x:c r="B378" s="35" t="str">
        <x:v>Xuchen Tang</x:v>
      </x:c>
      <x:c r="C378" s="35" t="str"/>
      <x:c r="D378" s="35" t="str">
        <x:v>未核实中文写法（最佳猜测及依据见专表）</x:v>
      </x:c>
      <x:c r="E378" s="35" t="str">
        <x:v>2023-07-31—2023-08-07</x:v>
      </x:c>
      <x:c r="F378" s="35" t="str">
        <x:v>费尔德霍芬，荷兰</x:v>
      </x:c>
      <x:c r="G378" s="35" t="str">
        <x:v>第18届世界青年团体锦标赛</x:v>
      </x:c>
      <x:c r="H378" s="35" t="str">
        <x:v>U16 BAM</x:v>
      </x:c>
      <x:c r="I378" s="35" t="n">
        <x:v>1</x:v>
      </x:c>
      <x:c r="J378" s="35" t="str">
        <x:v>金牌</x:v>
      </x:c>
      <x:c r="K378" s="35" t="str">
        <x:v>CHINA</x:v>
      </x:c>
      <x:c r="L378" s="35"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row>
    <x:row r="379">
      <x:c r="A379" s="16" t="str">
        <x:v>WBF-101</x:v>
      </x:c>
      <x:c r="B379" s="16" t="str">
        <x:v>Haoran Wang</x:v>
      </x:c>
      <x:c r="C379" s="16" t="str"/>
      <x:c r="D379" s="16" t="str">
        <x:v>未核实中文写法（最佳猜测及依据见专表）</x:v>
      </x:c>
      <x:c r="E379" s="16" t="str">
        <x:v>2023-07-31—2023-08-07</x:v>
      </x:c>
      <x:c r="F379" s="16" t="str">
        <x:v>费尔德霍芬，荷兰</x:v>
      </x:c>
      <x:c r="G379" s="16" t="str">
        <x:v>第18届世界青年团体锦标赛</x:v>
      </x:c>
      <x:c r="H379" s="16" t="str">
        <x:v>U16 BAM</x:v>
      </x:c>
      <x:c r="I379" s="16" t="n">
        <x:v>1</x:v>
      </x:c>
      <x:c r="J379" s="16" t="str">
        <x:v>金牌</x:v>
      </x:c>
      <x:c r="K379" s="16" t="str">
        <x:v>CHINA</x:v>
      </x:c>
      <x:c r="L379"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row>
    <x:row r="380">
      <x:c r="A380" s="35" t="str">
        <x:v>WBF-101</x:v>
      </x:c>
      <x:c r="B380" s="35" t="str">
        <x:v>Haoxuan Yu</x:v>
      </x:c>
      <x:c r="C380" s="35" t="str"/>
      <x:c r="D380" s="35" t="str">
        <x:v>未核实中文写法（最佳猜测及依据见专表）</x:v>
      </x:c>
      <x:c r="E380" s="35" t="str">
        <x:v>2023-07-31—2023-08-07</x:v>
      </x:c>
      <x:c r="F380" s="35" t="str">
        <x:v>费尔德霍芬，荷兰</x:v>
      </x:c>
      <x:c r="G380" s="35" t="str">
        <x:v>第18届世界青年团体锦标赛</x:v>
      </x:c>
      <x:c r="H380" s="35" t="str">
        <x:v>U16 BAM</x:v>
      </x:c>
      <x:c r="I380" s="35" t="n">
        <x:v>1</x:v>
      </x:c>
      <x:c r="J380" s="35" t="str">
        <x:v>金牌</x:v>
      </x:c>
      <x:c r="K380" s="35" t="str">
        <x:v>CHINA</x:v>
      </x:c>
      <x:c r="L380" s="35"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row>
    <x:row r="381">
      <x:c r="A381" s="16" t="str">
        <x:v>WBF-101</x:v>
      </x:c>
      <x:c r="B381" s="16" t="str">
        <x:v>Zixuan Yuan</x:v>
      </x:c>
      <x:c r="C381" s="16" t="str"/>
      <x:c r="D381" s="16" t="str">
        <x:v>未核实中文写法（最佳猜测及依据见专表）</x:v>
      </x:c>
      <x:c r="E381" s="16" t="str">
        <x:v>2023-07-31—2023-08-07</x:v>
      </x:c>
      <x:c r="F381" s="16" t="str">
        <x:v>费尔德霍芬，荷兰</x:v>
      </x:c>
      <x:c r="G381" s="16" t="str">
        <x:v>第18届世界青年团体锦标赛</x:v>
      </x:c>
      <x:c r="H381" s="16" t="str">
        <x:v>U16 BAM</x:v>
      </x:c>
      <x:c r="I381" s="16" t="n">
        <x:v>1</x:v>
      </x:c>
      <x:c r="J381" s="16" t="str">
        <x:v>金牌</x:v>
      </x:c>
      <x:c r="K381" s="16" t="str">
        <x:v>CHINA</x:v>
      </x:c>
      <x:c r="L381"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row>
    <x:row r="382">
      <x:c r="A382" s="35" t="str">
        <x:v>WBF-101</x:v>
      </x:c>
      <x:c r="B382" s="35" t="str">
        <x:v>Ziqi Zhang</x:v>
      </x:c>
      <x:c r="C382" s="35" t="str"/>
      <x:c r="D382" s="35" t="str">
        <x:v>未核实中文写法（最佳猜测及依据见专表）</x:v>
      </x:c>
      <x:c r="E382" s="35" t="str">
        <x:v>2023-07-31—2023-08-07</x:v>
      </x:c>
      <x:c r="F382" s="35" t="str">
        <x:v>费尔德霍芬，荷兰</x:v>
      </x:c>
      <x:c r="G382" s="35" t="str">
        <x:v>第18届世界青年团体锦标赛</x:v>
      </x:c>
      <x:c r="H382" s="35" t="str">
        <x:v>U16 BAM</x:v>
      </x:c>
      <x:c r="I382" s="35" t="n">
        <x:v>1</x:v>
      </x:c>
      <x:c r="J382" s="35" t="str">
        <x:v>金牌</x:v>
      </x:c>
      <x:c r="K382" s="35" t="str">
        <x:v>CHINA</x:v>
      </x:c>
      <x:c r="L382" s="35"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row>
    <x:row r="383">
      <x:c r="A383" s="16" t="str">
        <x:v>WBF-079</x:v>
      </x:c>
      <x:c r="B383" s="16" t="str">
        <x:v>Yan Huang</x:v>
      </x:c>
      <x:c r="C383" s="16" t="str"/>
      <x:c r="D383" s="16" t="str">
        <x:v>未核实中文写法（最佳猜测及依据见专表）</x:v>
      </x:c>
      <x:c r="E383" s="16" t="str">
        <x:v>2023-08</x:v>
      </x:c>
      <x:c r="F383" s="16" t="str">
        <x:v>马拉喀什，摩洛哥</x:v>
      </x:c>
      <x:c r="G383" s="16" t="str">
        <x:v>世界桥牌团体锦标赛</x:v>
      </x:c>
      <x:c r="H383" s="16" t="str">
        <x:v>Venice Cup 女子团体</x:v>
      </x:c>
      <x:c r="I383" s="16" t="n">
        <x:v>3</x:v>
      </x:c>
      <x:c r="J383" s="16" t="str">
        <x:v>铜牌</x:v>
      </x:c>
      <x:c r="K383" s="16" t="str">
        <x:v>CHINA</x:v>
      </x:c>
      <x:c r="L383" s="16" t="str">
        <x:v>https://www.wbfmasterpoints.com/Medalsreport.asp</x:v>
      </x:c>
    </x:row>
    <x:row r="384">
      <x:c r="A384" s="35" t="str">
        <x:v>WBF-079</x:v>
      </x:c>
      <x:c r="B384" s="35" t="str">
        <x:v>Jing Rong Ran</x:v>
      </x:c>
      <x:c r="C384" s="35" t="str"/>
      <x:c r="D384" s="35" t="str">
        <x:v>未核实中文写法（最佳猜测及依据见专表）</x:v>
      </x:c>
      <x:c r="E384" s="35" t="str">
        <x:v>2023-08</x:v>
      </x:c>
      <x:c r="F384" s="35" t="str">
        <x:v>马拉喀什，摩洛哥</x:v>
      </x:c>
      <x:c r="G384" s="35" t="str">
        <x:v>世界桥牌团体锦标赛</x:v>
      </x:c>
      <x:c r="H384" s="35" t="str">
        <x:v>Venice Cup 女子团体</x:v>
      </x:c>
      <x:c r="I384" s="35" t="n">
        <x:v>3</x:v>
      </x:c>
      <x:c r="J384" s="35" t="str">
        <x:v>铜牌</x:v>
      </x:c>
      <x:c r="K384" s="35" t="str">
        <x:v>CHINA</x:v>
      </x:c>
      <x:c r="L384" s="35" t="str">
        <x:v>https://www.wbfmasterpoints.com/Medalsreport.asp</x:v>
      </x:c>
    </x:row>
    <x:row r="385">
      <x:c r="A385" s="16" t="str">
        <x:v>WBF-079</x:v>
      </x:c>
      <x:c r="B385" s="16" t="str">
        <x:v>Yan Liu</x:v>
      </x:c>
      <x:c r="C385" s="16" t="str">
        <x:v>刘艳</x:v>
      </x:c>
      <x:c r="D385" s="16" t="str">
        <x:v>已由中文报道核对</x:v>
      </x:c>
      <x:c r="E385" s="16" t="str">
        <x:v>2023-08</x:v>
      </x:c>
      <x:c r="F385" s="16" t="str">
        <x:v>马拉喀什，摩洛哥</x:v>
      </x:c>
      <x:c r="G385" s="16" t="str">
        <x:v>世界桥牌团体锦标赛</x:v>
      </x:c>
      <x:c r="H385" s="16" t="str">
        <x:v>Venice Cup 女子团体</x:v>
      </x:c>
      <x:c r="I385" s="16" t="n">
        <x:v>3</x:v>
      </x:c>
      <x:c r="J385" s="16" t="str">
        <x:v>铜牌</x:v>
      </x:c>
      <x:c r="K385" s="16" t="str">
        <x:v>CHINA</x:v>
      </x:c>
      <x:c r="L385" s="16" t="str">
        <x:v>https://www.wbfmasterpoints.com/Medalsreport.asp</x:v>
      </x:c>
    </x:row>
    <x:row r="386">
      <x:c r="A386" s="35" t="str">
        <x:v>WBF-079</x:v>
      </x:c>
      <x:c r="B386" s="35" t="str">
        <x:v>Xiuting Yu</x:v>
      </x:c>
      <x:c r="C386" s="35" t="str"/>
      <x:c r="D386" s="35" t="str">
        <x:v>未核实中文写法（最佳猜测及依据见专表）</x:v>
      </x:c>
      <x:c r="E386" s="35" t="str">
        <x:v>2023-08</x:v>
      </x:c>
      <x:c r="F386" s="35" t="str">
        <x:v>马拉喀什，摩洛哥</x:v>
      </x:c>
      <x:c r="G386" s="35" t="str">
        <x:v>世界桥牌团体锦标赛</x:v>
      </x:c>
      <x:c r="H386" s="35" t="str">
        <x:v>Venice Cup 女子团体</x:v>
      </x:c>
      <x:c r="I386" s="35" t="n">
        <x:v>3</x:v>
      </x:c>
      <x:c r="J386" s="35" t="str">
        <x:v>铜牌</x:v>
      </x:c>
      <x:c r="K386" s="35" t="str">
        <x:v>CHINA</x:v>
      </x:c>
      <x:c r="L386" s="35" t="str">
        <x:v>https://www.wbfmasterpoints.com/Medalsreport.asp</x:v>
      </x:c>
    </x:row>
    <x:row r="387">
      <x:c r="A387" s="16" t="str">
        <x:v>WBF-079</x:v>
      </x:c>
      <x:c r="B387" s="16" t="str">
        <x:v>Meiling Zhou</x:v>
      </x:c>
      <x:c r="C387" s="16" t="str"/>
      <x:c r="D387" s="16" t="str">
        <x:v>未核实中文写法（最佳猜测及依据见专表）</x:v>
      </x:c>
      <x:c r="E387" s="16" t="str">
        <x:v>2023-08</x:v>
      </x:c>
      <x:c r="F387" s="16" t="str">
        <x:v>马拉喀什，摩洛哥</x:v>
      </x:c>
      <x:c r="G387" s="16" t="str">
        <x:v>世界桥牌团体锦标赛</x:v>
      </x:c>
      <x:c r="H387" s="16" t="str">
        <x:v>Venice Cup 女子团体</x:v>
      </x:c>
      <x:c r="I387" s="16" t="n">
        <x:v>3</x:v>
      </x:c>
      <x:c r="J387" s="16" t="str">
        <x:v>铜牌</x:v>
      </x:c>
      <x:c r="K387" s="16" t="str">
        <x:v>CHINA</x:v>
      </x:c>
      <x:c r="L387" s="16" t="str">
        <x:v>https://www.wbfmasterpoints.com/Medalsreport.asp</x:v>
      </x:c>
    </x:row>
    <x:row r="388">
      <x:c r="A388" s="35" t="str">
        <x:v>WBF-079</x:v>
      </x:c>
      <x:c r="B388" s="35" t="str">
        <x:v>Xiaoxue Zuo</x:v>
      </x:c>
      <x:c r="C388" s="35" t="str">
        <x:v>左晓雪</x:v>
      </x:c>
      <x:c r="D388" s="35" t="str">
        <x:v>已由中文报道核对</x:v>
      </x:c>
      <x:c r="E388" s="35" t="str">
        <x:v>2023-08</x:v>
      </x:c>
      <x:c r="F388" s="35" t="str">
        <x:v>马拉喀什，摩洛哥</x:v>
      </x:c>
      <x:c r="G388" s="35" t="str">
        <x:v>世界桥牌团体锦标赛</x:v>
      </x:c>
      <x:c r="H388" s="35" t="str">
        <x:v>Venice Cup 女子团体</x:v>
      </x:c>
      <x:c r="I388" s="35" t="n">
        <x:v>3</x:v>
      </x:c>
      <x:c r="J388" s="35" t="str">
        <x:v>铜牌</x:v>
      </x:c>
      <x:c r="K388" s="35" t="str">
        <x:v>CHINA</x:v>
      </x:c>
      <x:c r="L388" s="35" t="str">
        <x:v>https://www.wbfmasterpoints.com/Medalsreport.asp</x:v>
      </x:c>
    </x:row>
    <x:row r="389">
      <x:c r="A389" s="16" t="str">
        <x:v>WBF-080</x:v>
      </x:c>
      <x:c r="B389" s="16" t="str">
        <x:v>Hanxi Ma</x:v>
      </x:c>
      <x:c r="C389" s="16" t="str"/>
      <x:c r="D389" s="16" t="str">
        <x:v>未核实中文写法（最佳猜测及依据见专表）</x:v>
      </x:c>
      <x:c r="E389" s="16" t="str">
        <x:v>2024-07-13—2024-07-18</x:v>
      </x:c>
      <x:c r="F389" s="16" t="str">
        <x:v>弗罗茨瓦夫，波兰</x:v>
      </x:c>
      <x:c r="G389" s="16" t="str">
        <x:v>第8届世界青年跨国锦标赛</x:v>
      </x:c>
      <x:c r="H389" s="16" t="str">
        <x:v>U21 Teams</x:v>
      </x:c>
      <x:c r="I389" s="16" t="n">
        <x:v>3</x:v>
      </x:c>
      <x:c r="J389" s="16" t="str">
        <x:v>铜牌</x:v>
      </x:c>
      <x:c r="K389" s="16" t="str">
        <x:v>RDFZ B (CHN/USA)</x:v>
      </x:c>
      <x:c r="L389" s="16" t="str">
        <x:v>https://championships.worldbridge.org/8th-world-youth-transnational-championships</x:v>
      </x:c>
    </x:row>
    <x:row r="390">
      <x:c r="A390" s="35" t="str">
        <x:v>WBF-080</x:v>
      </x:c>
      <x:c r="B390" s="35" t="str">
        <x:v>Ziao Wang</x:v>
      </x:c>
      <x:c r="C390" s="35" t="str"/>
      <x:c r="D390" s="35" t="str">
        <x:v>未核实中文写法（最佳猜测及依据见专表）</x:v>
      </x:c>
      <x:c r="E390" s="35" t="str">
        <x:v>2024-07-13—2024-07-18</x:v>
      </x:c>
      <x:c r="F390" s="35" t="str">
        <x:v>弗罗茨瓦夫，波兰</x:v>
      </x:c>
      <x:c r="G390" s="35" t="str">
        <x:v>第8届世界青年跨国锦标赛</x:v>
      </x:c>
      <x:c r="H390" s="35" t="str">
        <x:v>U21 Teams</x:v>
      </x:c>
      <x:c r="I390" s="35" t="n">
        <x:v>3</x:v>
      </x:c>
      <x:c r="J390" s="35" t="str">
        <x:v>铜牌</x:v>
      </x:c>
      <x:c r="K390" s="35" t="str">
        <x:v>RDFZ B (CHN/USA)</x:v>
      </x:c>
      <x:c r="L390" s="35" t="str">
        <x:v>https://championships.worldbridge.org/8th-world-youth-transnational-championships</x:v>
      </x:c>
    </x:row>
    <x:row r="391">
      <x:c r="A391" s="16" t="str">
        <x:v>WBF-080</x:v>
      </x:c>
      <x:c r="B391" s="16" t="str">
        <x:v>Yuekai Yang</x:v>
      </x:c>
      <x:c r="C391" s="16" t="str"/>
      <x:c r="D391" s="16" t="str">
        <x:v>未核实中文写法（最佳猜测及依据见专表）</x:v>
      </x:c>
      <x:c r="E391" s="16" t="str">
        <x:v>2024-07-13—2024-07-18</x:v>
      </x:c>
      <x:c r="F391" s="16" t="str">
        <x:v>弗罗茨瓦夫，波兰</x:v>
      </x:c>
      <x:c r="G391" s="16" t="str">
        <x:v>第8届世界青年跨国锦标赛</x:v>
      </x:c>
      <x:c r="H391" s="16" t="str">
        <x:v>U21 Teams</x:v>
      </x:c>
      <x:c r="I391" s="16" t="n">
        <x:v>3</x:v>
      </x:c>
      <x:c r="J391" s="16" t="str">
        <x:v>铜牌</x:v>
      </x:c>
      <x:c r="K391" s="16" t="str">
        <x:v>RDFZ B (CHN/USA)</x:v>
      </x:c>
      <x:c r="L391" s="16" t="str">
        <x:v>https://championships.worldbridge.org/8th-world-youth-transnational-championships</x:v>
      </x:c>
    </x:row>
    <x:row r="392">
      <x:c r="A392" s="35" t="str">
        <x:v>WBF-081</x:v>
      </x:c>
      <x:c r="B392" s="35" t="str">
        <x:v>Yichao Chen</x:v>
      </x:c>
      <x:c r="C392" s="35" t="str">
        <x:v>陈一超</x:v>
      </x:c>
      <x:c r="D392" s="35" t="str">
        <x:v>已由中文报道核对</x:v>
      </x:c>
      <x:c r="E392" s="35" t="str">
        <x:v>2024-10-22—2024-11-03</x:v>
      </x:c>
      <x:c r="F392" s="35" t="str">
        <x:v>布宜诺斯艾利斯，阿根廷</x:v>
      </x:c>
      <x:c r="G392" s="35" t="str">
        <x:v>第16届世界桥牌运动会</x:v>
      </x:c>
      <x:c r="H392" s="35" t="str">
        <x:v>Mixed Teams 混合团体</x:v>
      </x:c>
      <x:c r="I392" s="35" t="n">
        <x:v>2</x:v>
      </x:c>
      <x:c r="J392" s="35" t="str">
        <x:v>银牌</x:v>
      </x:c>
      <x:c r="K392" s="35" t="str">
        <x:v>CHINA</x:v>
      </x:c>
      <x:c r="L392" s="35" t="str">
        <x:v>https://www.worldbridge.org/2024/11/world-bridge-games-2024-the-winners/</x:v>
      </x:c>
    </x:row>
    <x:row r="393">
      <x:c r="A393" s="16" t="str">
        <x:v>WBF-081</x:v>
      </x:c>
      <x:c r="B393" s="16" t="str">
        <x:v>Bo Fu</x:v>
      </x:c>
      <x:c r="C393" s="16" t="str">
        <x:v>傅博</x:v>
      </x:c>
      <x:c r="D393" s="16" t="str">
        <x:v>已由中文报道核对</x:v>
      </x:c>
      <x:c r="E393" s="16" t="str">
        <x:v>2024-10-22—2024-11-03</x:v>
      </x:c>
      <x:c r="F393" s="16" t="str">
        <x:v>布宜诺斯艾利斯，阿根廷</x:v>
      </x:c>
      <x:c r="G393" s="16" t="str">
        <x:v>第16届世界桥牌运动会</x:v>
      </x:c>
      <x:c r="H393" s="16" t="str">
        <x:v>Mixed Teams 混合团体</x:v>
      </x:c>
      <x:c r="I393" s="16" t="n">
        <x:v>2</x:v>
      </x:c>
      <x:c r="J393" s="16" t="str">
        <x:v>银牌</x:v>
      </x:c>
      <x:c r="K393" s="16" t="str">
        <x:v>CHINA</x:v>
      </x:c>
      <x:c r="L393" s="16" t="str">
        <x:v>https://www.worldbridge.org/2024/11/world-bridge-games-2024-the-winners/</x:v>
      </x:c>
    </x:row>
    <x:row r="394">
      <x:c r="A394" s="35" t="str">
        <x:v>WBF-081</x:v>
      </x:c>
      <x:c r="B394" s="35" t="str">
        <x:v>Yuegang Kuang</x:v>
      </x:c>
      <x:c r="C394" s="35" t="str">
        <x:v>旷跃纲</x:v>
      </x:c>
      <x:c r="D394" s="35" t="str">
        <x:v>已由中文报道核对</x:v>
      </x:c>
      <x:c r="E394" s="35" t="str">
        <x:v>2024-10-22—2024-11-03</x:v>
      </x:c>
      <x:c r="F394" s="35" t="str">
        <x:v>布宜诺斯艾利斯，阿根廷</x:v>
      </x:c>
      <x:c r="G394" s="35" t="str">
        <x:v>第16届世界桥牌运动会</x:v>
      </x:c>
      <x:c r="H394" s="35" t="str">
        <x:v>Mixed Teams 混合团体</x:v>
      </x:c>
      <x:c r="I394" s="35" t="n">
        <x:v>2</x:v>
      </x:c>
      <x:c r="J394" s="35" t="str">
        <x:v>银牌</x:v>
      </x:c>
      <x:c r="K394" s="35" t="str">
        <x:v>CHINA</x:v>
      </x:c>
      <x:c r="L394" s="35" t="str">
        <x:v>https://www.worldbridge.org/2024/11/world-bridge-games-2024-the-winners/</x:v>
      </x:c>
    </x:row>
    <x:row r="395">
      <x:c r="A395" s="16" t="str">
        <x:v>WBF-081</x:v>
      </x:c>
      <x:c r="B395" s="16" t="str">
        <x:v>Yinghao Liu</x:v>
      </x:c>
      <x:c r="C395" s="16" t="str">
        <x:v>刘英皓</x:v>
      </x:c>
      <x:c r="D395" s="16" t="str">
        <x:v>已由中文报道核对</x:v>
      </x:c>
      <x:c r="E395" s="16" t="str">
        <x:v>2024-10-22—2024-11-03</x:v>
      </x:c>
      <x:c r="F395" s="16" t="str">
        <x:v>布宜诺斯艾利斯，阿根廷</x:v>
      </x:c>
      <x:c r="G395" s="16" t="str">
        <x:v>第16届世界桥牌运动会</x:v>
      </x:c>
      <x:c r="H395" s="16" t="str">
        <x:v>Mixed Teams 混合团体</x:v>
      </x:c>
      <x:c r="I395" s="16" t="n">
        <x:v>2</x:v>
      </x:c>
      <x:c r="J395" s="16" t="str">
        <x:v>银牌</x:v>
      </x:c>
      <x:c r="K395" s="16" t="str">
        <x:v>CHINA</x:v>
      </x:c>
      <x:c r="L395" s="16" t="str">
        <x:v>https://www.worldbridge.org/2024/11/world-bridge-games-2024-the-winners/</x:v>
      </x:c>
    </x:row>
    <x:row r="396">
      <x:c r="A396" s="35" t="str">
        <x:v>WBF-081</x:v>
      </x:c>
      <x:c r="B396" s="35" t="str">
        <x:v>Yan Lu</x:v>
      </x:c>
      <x:c r="C396" s="35" t="str">
        <x:v>卢燕</x:v>
      </x:c>
      <x:c r="D396" s="35" t="str">
        <x:v>已由中文报道核对</x:v>
      </x:c>
      <x:c r="E396" s="35" t="str">
        <x:v>2024-10-22—2024-11-03</x:v>
      </x:c>
      <x:c r="F396" s="35" t="str">
        <x:v>布宜诺斯艾利斯，阿根廷</x:v>
      </x:c>
      <x:c r="G396" s="35" t="str">
        <x:v>第16届世界桥牌运动会</x:v>
      </x:c>
      <x:c r="H396" s="35" t="str">
        <x:v>Mixed Teams 混合团体</x:v>
      </x:c>
      <x:c r="I396" s="35" t="n">
        <x:v>2</x:v>
      </x:c>
      <x:c r="J396" s="35" t="str">
        <x:v>银牌</x:v>
      </x:c>
      <x:c r="K396" s="35" t="str">
        <x:v>CHINA</x:v>
      </x:c>
      <x:c r="L396" s="35" t="str">
        <x:v>https://www.worldbridge.org/2024/11/world-bridge-games-2024-the-winners/</x:v>
      </x:c>
    </x:row>
    <x:row r="397">
      <x:c r="A397" s="16" t="str">
        <x:v>WBF-081</x:v>
      </x:c>
      <x:c r="B397" s="16" t="str">
        <x:v>Yanhui Sun</x:v>
      </x:c>
      <x:c r="C397" s="16" t="str">
        <x:v>孙燕慧</x:v>
      </x:c>
      <x:c r="D397" s="16" t="str">
        <x:v>已由中文报道核对</x:v>
      </x:c>
      <x:c r="E397" s="16" t="str">
        <x:v>2024-10-22—2024-11-03</x:v>
      </x:c>
      <x:c r="F397" s="16" t="str">
        <x:v>布宜诺斯艾利斯，阿根廷</x:v>
      </x:c>
      <x:c r="G397" s="16" t="str">
        <x:v>第16届世界桥牌运动会</x:v>
      </x:c>
      <x:c r="H397" s="16" t="str">
        <x:v>Mixed Teams 混合团体</x:v>
      </x:c>
      <x:c r="I397" s="16" t="n">
        <x:v>2</x:v>
      </x:c>
      <x:c r="J397" s="16" t="str">
        <x:v>银牌</x:v>
      </x:c>
      <x:c r="K397" s="16" t="str">
        <x:v>CHINA</x:v>
      </x:c>
      <x:c r="L397" s="16" t="str">
        <x:v>https://www.worldbridge.org/2024/11/world-bridge-games-2024-the-winners/</x:v>
      </x:c>
    </x:row>
    <x:row r="398">
      <x:c r="A398" s="35" t="str">
        <x:v>WBF-082</x:v>
      </x:c>
      <x:c r="B398" s="35" t="str">
        <x:v>Yuyi Bu</x:v>
      </x:c>
      <x:c r="C398" s="35" t="str"/>
      <x:c r="D398" s="35" t="str">
        <x:v>未核实中文写法（最佳猜测及依据见专表）</x:v>
      </x:c>
      <x:c r="E398" s="35" t="str">
        <x:v>2025-07-12—2025-07-17</x:v>
      </x:c>
      <x:c r="F398" s="35" t="str">
        <x:v>萨尔索马焦雷，意大利</x:v>
      </x:c>
      <x:c r="G398" s="35" t="str">
        <x:v>第19届世界青年团体锦标赛</x:v>
      </x:c>
      <x:c r="H398" s="35" t="str">
        <x:v>U16 BAM</x:v>
      </x:c>
      <x:c r="I398" s="35" t="n">
        <x:v>1</x:v>
      </x:c>
      <x:c r="J398" s="35" t="str">
        <x:v>金牌</x:v>
      </x:c>
      <x:c r="K398" s="35" t="str">
        <x:v>CHINA</x:v>
      </x:c>
      <x:c r="L398" s="35" t="str">
        <x:v>https://www.worldbridge.org/2025/07/19th-world-youth-team-championships-the-winners/</x:v>
      </x:c>
    </x:row>
    <x:row r="399">
      <x:c r="A399" s="16" t="str">
        <x:v>WBF-082</x:v>
      </x:c>
      <x:c r="B399" s="16" t="str">
        <x:v>Haochen Hu</x:v>
      </x:c>
      <x:c r="C399" s="16" t="str"/>
      <x:c r="D399" s="16" t="str">
        <x:v>未核实中文写法（最佳猜测及依据见专表）</x:v>
      </x:c>
      <x:c r="E399" s="16" t="str">
        <x:v>2025-07-12—2025-07-17</x:v>
      </x:c>
      <x:c r="F399" s="16" t="str">
        <x:v>萨尔索马焦雷，意大利</x:v>
      </x:c>
      <x:c r="G399" s="16" t="str">
        <x:v>第19届世界青年团体锦标赛</x:v>
      </x:c>
      <x:c r="H399" s="16" t="str">
        <x:v>U16 BAM</x:v>
      </x:c>
      <x:c r="I399" s="16" t="n">
        <x:v>1</x:v>
      </x:c>
      <x:c r="J399" s="16" t="str">
        <x:v>金牌</x:v>
      </x:c>
      <x:c r="K399" s="16" t="str">
        <x:v>CHINA</x:v>
      </x:c>
      <x:c r="L399" s="16" t="str">
        <x:v>https://www.worldbridge.org/2025/07/19th-world-youth-team-championships-the-winners/</x:v>
      </x:c>
    </x:row>
    <x:row r="400">
      <x:c r="A400" s="35" t="str">
        <x:v>WBF-082</x:v>
      </x:c>
      <x:c r="B400" s="35" t="str">
        <x:v>Yezhen Ji</x:v>
      </x:c>
      <x:c r="C400" s="35" t="str"/>
      <x:c r="D400" s="35" t="str">
        <x:v>未核实中文写法（最佳猜测及依据见专表）</x:v>
      </x:c>
      <x:c r="E400" s="35" t="str">
        <x:v>2025-07-12—2025-07-17</x:v>
      </x:c>
      <x:c r="F400" s="35" t="str">
        <x:v>萨尔索马焦雷，意大利</x:v>
      </x:c>
      <x:c r="G400" s="35" t="str">
        <x:v>第19届世界青年团体锦标赛</x:v>
      </x:c>
      <x:c r="H400" s="35" t="str">
        <x:v>U16 BAM</x:v>
      </x:c>
      <x:c r="I400" s="35" t="n">
        <x:v>1</x:v>
      </x:c>
      <x:c r="J400" s="35" t="str">
        <x:v>金牌</x:v>
      </x:c>
      <x:c r="K400" s="35" t="str">
        <x:v>CHINA</x:v>
      </x:c>
      <x:c r="L400" s="35" t="str">
        <x:v>https://www.worldbridge.org/2025/07/19th-world-youth-team-championships-the-winners/</x:v>
      </x:c>
    </x:row>
    <x:row r="401">
      <x:c r="A401" s="16" t="str">
        <x:v>WBF-082</x:v>
      </x:c>
      <x:c r="B401" s="16" t="str">
        <x:v>Xinhao Wu</x:v>
      </x:c>
      <x:c r="C401" s="16" t="str"/>
      <x:c r="D401" s="16" t="str">
        <x:v>未核实中文写法（最佳猜测及依据见专表）</x:v>
      </x:c>
      <x:c r="E401" s="16" t="str">
        <x:v>2025-07-12—2025-07-17</x:v>
      </x:c>
      <x:c r="F401" s="16" t="str">
        <x:v>萨尔索马焦雷，意大利</x:v>
      </x:c>
      <x:c r="G401" s="16" t="str">
        <x:v>第19届世界青年团体锦标赛</x:v>
      </x:c>
      <x:c r="H401" s="16" t="str">
        <x:v>U16 BAM</x:v>
      </x:c>
      <x:c r="I401" s="16" t="n">
        <x:v>1</x:v>
      </x:c>
      <x:c r="J401" s="16" t="str">
        <x:v>金牌</x:v>
      </x:c>
      <x:c r="K401" s="16" t="str">
        <x:v>CHINA</x:v>
      </x:c>
      <x:c r="L401" s="16" t="str">
        <x:v>https://www.worldbridge.org/2025/07/19th-world-youth-team-championships-the-winners/</x:v>
      </x:c>
    </x:row>
    <x:row r="402">
      <x:c r="A402" s="35" t="str">
        <x:v>WBF-082</x:v>
      </x:c>
      <x:c r="B402" s="35" t="str">
        <x:v>Ziwen Zhao</x:v>
      </x:c>
      <x:c r="C402" s="35" t="str"/>
      <x:c r="D402" s="35" t="str">
        <x:v>未核实中文写法（最佳猜测及依据见专表）</x:v>
      </x:c>
      <x:c r="E402" s="35" t="str">
        <x:v>2025-07-12—2025-07-17</x:v>
      </x:c>
      <x:c r="F402" s="35" t="str">
        <x:v>萨尔索马焦雷，意大利</x:v>
      </x:c>
      <x:c r="G402" s="35" t="str">
        <x:v>第19届世界青年团体锦标赛</x:v>
      </x:c>
      <x:c r="H402" s="35" t="str">
        <x:v>U16 BAM</x:v>
      </x:c>
      <x:c r="I402" s="35" t="n">
        <x:v>1</x:v>
      </x:c>
      <x:c r="J402" s="35" t="str">
        <x:v>金牌</x:v>
      </x:c>
      <x:c r="K402" s="35" t="str">
        <x:v>CHINA</x:v>
      </x:c>
      <x:c r="L402" s="35" t="str">
        <x:v>https://www.worldbridge.org/2025/07/19th-world-youth-team-championships-the-winners/</x:v>
      </x:c>
    </x:row>
    <x:row r="403">
      <x:c r="A403" s="16" t="str">
        <x:v>WBF-082</x:v>
      </x:c>
      <x:c r="B403" s="16" t="str">
        <x:v>Zekun Zhu</x:v>
      </x:c>
      <x:c r="C403" s="16" t="str"/>
      <x:c r="D403" s="16" t="str">
        <x:v>未核实中文写法（最佳猜测及依据见专表）</x:v>
      </x:c>
      <x:c r="E403" s="16" t="str">
        <x:v>2025-07-12—2025-07-17</x:v>
      </x:c>
      <x:c r="F403" s="16" t="str">
        <x:v>萨尔索马焦雷，意大利</x:v>
      </x:c>
      <x:c r="G403" s="16" t="str">
        <x:v>第19届世界青年团体锦标赛</x:v>
      </x:c>
      <x:c r="H403" s="16" t="str">
        <x:v>U16 BAM</x:v>
      </x:c>
      <x:c r="I403" s="16" t="n">
        <x:v>1</x:v>
      </x:c>
      <x:c r="J403" s="16" t="str">
        <x:v>金牌</x:v>
      </x:c>
      <x:c r="K403" s="16" t="str">
        <x:v>CHINA</x:v>
      </x:c>
      <x:c r="L403" s="16" t="str">
        <x:v>https://www.worldbridge.org/2025/07/19th-world-youth-team-championships-the-winners/</x:v>
      </x:c>
    </x:row>
    <x:row r="404">
      <x:c r="A404" s="35" t="str">
        <x:v>WBF-083</x:v>
      </x:c>
      <x:c r="B404" s="35" t="str">
        <x:v>Yunpeng Chen</x:v>
      </x:c>
      <x:c r="C404" s="35" t="str"/>
      <x:c r="D404" s="35" t="str">
        <x:v>未核实中文写法（最佳猜测及依据见专表）</x:v>
      </x:c>
      <x:c r="E404" s="35" t="str">
        <x:v>2025-07-12—2025-07-17</x:v>
      </x:c>
      <x:c r="F404" s="35" t="str">
        <x:v>萨尔索马焦雷，意大利</x:v>
      </x:c>
      <x:c r="G404" s="35" t="str">
        <x:v>第19届世界青年团体锦标赛</x:v>
      </x:c>
      <x:c r="H404" s="35" t="str">
        <x:v>U26 Women Teams</x:v>
      </x:c>
      <x:c r="I404" s="35" t="n">
        <x:v>3</x:v>
      </x:c>
      <x:c r="J404" s="35" t="str">
        <x:v>铜牌</x:v>
      </x:c>
      <x:c r="K404" s="35" t="str">
        <x:v>CHINA</x:v>
      </x:c>
      <x:c r="L404" s="35" t="str">
        <x:v>https://www.worldbridge.org/2025/07/19th-world-youth-team-championships-the-winners/</x:v>
      </x:c>
    </x:row>
    <x:row r="405">
      <x:c r="A405" s="16" t="str">
        <x:v>WBF-083</x:v>
      </x:c>
      <x:c r="B405" s="16" t="str">
        <x:v>Sifan Jiang</x:v>
      </x:c>
      <x:c r="C405" s="16" t="str"/>
      <x:c r="D405" s="16" t="str">
        <x:v>未核实中文写法（最佳猜测及依据见专表）</x:v>
      </x:c>
      <x:c r="E405" s="16" t="str">
        <x:v>2025-07-12—2025-07-17</x:v>
      </x:c>
      <x:c r="F405" s="16" t="str">
        <x:v>萨尔索马焦雷，意大利</x:v>
      </x:c>
      <x:c r="G405" s="16" t="str">
        <x:v>第19届世界青年团体锦标赛</x:v>
      </x:c>
      <x:c r="H405" s="16" t="str">
        <x:v>U26 Women Teams</x:v>
      </x:c>
      <x:c r="I405" s="16" t="n">
        <x:v>3</x:v>
      </x:c>
      <x:c r="J405" s="16" t="str">
        <x:v>铜牌</x:v>
      </x:c>
      <x:c r="K405" s="16" t="str">
        <x:v>CHINA</x:v>
      </x:c>
      <x:c r="L405" s="16" t="str">
        <x:v>https://www.worldbridge.org/2025/07/19th-world-youth-team-championships-the-winners/</x:v>
      </x:c>
    </x:row>
    <x:row r="406">
      <x:c r="A406" s="35" t="str">
        <x:v>WBF-083</x:v>
      </x:c>
      <x:c r="B406" s="35" t="str">
        <x:v>Yixuan Jiang</x:v>
      </x:c>
      <x:c r="C406" s="35" t="str"/>
      <x:c r="D406" s="35" t="str">
        <x:v>未核实中文写法（最佳猜测及依据见专表）</x:v>
      </x:c>
      <x:c r="E406" s="35" t="str">
        <x:v>2025-07-12—2025-07-17</x:v>
      </x:c>
      <x:c r="F406" s="35" t="str">
        <x:v>萨尔索马焦雷，意大利</x:v>
      </x:c>
      <x:c r="G406" s="35" t="str">
        <x:v>第19届世界青年团体锦标赛</x:v>
      </x:c>
      <x:c r="H406" s="35" t="str">
        <x:v>U26 Women Teams</x:v>
      </x:c>
      <x:c r="I406" s="35" t="n">
        <x:v>3</x:v>
      </x:c>
      <x:c r="J406" s="35" t="str">
        <x:v>铜牌</x:v>
      </x:c>
      <x:c r="K406" s="35" t="str">
        <x:v>CHINA</x:v>
      </x:c>
      <x:c r="L406" s="35" t="str">
        <x:v>https://www.worldbridge.org/2025/07/19th-world-youth-team-championships-the-winners/</x:v>
      </x:c>
    </x:row>
    <x:row r="407">
      <x:c r="A407" s="16" t="str">
        <x:v>WBF-083</x:v>
      </x:c>
      <x:c r="B407" s="16" t="str">
        <x:v>Chujia Pan</x:v>
      </x:c>
      <x:c r="C407" s="16" t="str"/>
      <x:c r="D407" s="16" t="str">
        <x:v>未核实中文写法（最佳猜测及依据见专表）</x:v>
      </x:c>
      <x:c r="E407" s="16" t="str">
        <x:v>2025-07-12—2025-07-17</x:v>
      </x:c>
      <x:c r="F407" s="16" t="str">
        <x:v>萨尔索马焦雷，意大利</x:v>
      </x:c>
      <x:c r="G407" s="16" t="str">
        <x:v>第19届世界青年团体锦标赛</x:v>
      </x:c>
      <x:c r="H407" s="16" t="str">
        <x:v>U26 Women Teams</x:v>
      </x:c>
      <x:c r="I407" s="16" t="n">
        <x:v>3</x:v>
      </x:c>
      <x:c r="J407" s="16" t="str">
        <x:v>铜牌</x:v>
      </x:c>
      <x:c r="K407" s="16" t="str">
        <x:v>CHINA</x:v>
      </x:c>
      <x:c r="L407" s="16" t="str">
        <x:v>https://www.worldbridge.org/2025/07/19th-world-youth-team-championships-the-winners/</x:v>
      </x:c>
    </x:row>
    <x:row r="408">
      <x:c r="A408" s="35" t="str">
        <x:v>WBF-083</x:v>
      </x:c>
      <x:c r="B408" s="35" t="str">
        <x:v>Xinyao Ruan</x:v>
      </x:c>
      <x:c r="C408" s="35" t="str"/>
      <x:c r="D408" s="35" t="str">
        <x:v>未核实中文写法（最佳猜测及依据见专表）</x:v>
      </x:c>
      <x:c r="E408" s="35" t="str">
        <x:v>2025-07-12—2025-07-17</x:v>
      </x:c>
      <x:c r="F408" s="35" t="str">
        <x:v>萨尔索马焦雷，意大利</x:v>
      </x:c>
      <x:c r="G408" s="35" t="str">
        <x:v>第19届世界青年团体锦标赛</x:v>
      </x:c>
      <x:c r="H408" s="35" t="str">
        <x:v>U26 Women Teams</x:v>
      </x:c>
      <x:c r="I408" s="35" t="n">
        <x:v>3</x:v>
      </x:c>
      <x:c r="J408" s="35" t="str">
        <x:v>铜牌</x:v>
      </x:c>
      <x:c r="K408" s="35" t="str">
        <x:v>CHINA</x:v>
      </x:c>
      <x:c r="L408" s="35" t="str">
        <x:v>https://www.worldbridge.org/2025/07/19th-world-youth-team-championships-the-winners/</x:v>
      </x:c>
    </x:row>
    <x:row r="409">
      <x:c r="A409" s="16" t="str">
        <x:v>WBF-083</x:v>
      </x:c>
      <x:c r="B409" s="16" t="str">
        <x:v>Lingyun Teng</x:v>
      </x:c>
      <x:c r="C409" s="16" t="str"/>
      <x:c r="D409" s="16" t="str">
        <x:v>未核实中文写法（最佳猜测及依据见专表）</x:v>
      </x:c>
      <x:c r="E409" s="16" t="str">
        <x:v>2025-07-12—2025-07-17</x:v>
      </x:c>
      <x:c r="F409" s="16" t="str">
        <x:v>萨尔索马焦雷，意大利</x:v>
      </x:c>
      <x:c r="G409" s="16" t="str">
        <x:v>第19届世界青年团体锦标赛</x:v>
      </x:c>
      <x:c r="H409" s="16" t="str">
        <x:v>U26 Women Teams</x:v>
      </x:c>
      <x:c r="I409" s="16" t="n">
        <x:v>3</x:v>
      </x:c>
      <x:c r="J409" s="16" t="str">
        <x:v>铜牌</x:v>
      </x:c>
      <x:c r="K409" s="16" t="str">
        <x:v>CHINA</x:v>
      </x:c>
      <x:c r="L409" s="16" t="str">
        <x:v>https://www.worldbridge.org/2025/07/19th-world-youth-team-championships-the-winners/</x:v>
      </x:c>
    </x:row>
    <x:row r="410">
      <x:c r="A410" s="35" t="str">
        <x:v>WBF-084</x:v>
      </x:c>
      <x:c r="B410" s="35" t="str">
        <x:v>Ke Guo</x:v>
      </x:c>
      <x:c r="C410" s="35" t="str"/>
      <x:c r="D410" s="35" t="str">
        <x:v>未核实中文写法（最佳猜测及依据见专表）</x:v>
      </x:c>
      <x:c r="E410" s="35" t="str">
        <x:v>2025-08-20—2025-08-31</x:v>
      </x:c>
      <x:c r="F410" s="35" t="str">
        <x:v>海宁，丹麦</x:v>
      </x:c>
      <x:c r="G410" s="35" t="str">
        <x:v>第47届世界桥牌团体锦标赛</x:v>
      </x:c>
      <x:c r="H410" s="35" t="str">
        <x:v>Venice Cup 女子团体</x:v>
      </x:c>
      <x:c r="I410" s="35" t="n">
        <x:v>2</x:v>
      </x:c>
      <x:c r="J410" s="35" t="str">
        <x:v>银牌</x:v>
      </x:c>
      <x:c r="K410" s="35" t="str">
        <x:v>CHINA</x:v>
      </x:c>
      <x:c r="L410" s="35" t="str">
        <x:v>https://www.worldbridge.org/2025/08/congratulations-to-the-champions/</x:v>
      </x:c>
    </x:row>
    <x:row r="411">
      <x:c r="A411" s="16" t="str">
        <x:v>WBF-084</x:v>
      </x:c>
      <x:c r="B411" s="16" t="str">
        <x:v>Xuefang Yuan</x:v>
      </x:c>
      <x:c r="C411" s="16" t="str"/>
      <x:c r="D411" s="16" t="str">
        <x:v>未核实中文写法（最佳猜测及依据见专表）</x:v>
      </x:c>
      <x:c r="E411" s="16" t="str">
        <x:v>2025-08-20—2025-08-31</x:v>
      </x:c>
      <x:c r="F411" s="16" t="str">
        <x:v>海宁，丹麦</x:v>
      </x:c>
      <x:c r="G411" s="16" t="str">
        <x:v>第47届世界桥牌团体锦标赛</x:v>
      </x:c>
      <x:c r="H411" s="16" t="str">
        <x:v>Venice Cup 女子团体</x:v>
      </x:c>
      <x:c r="I411" s="16" t="n">
        <x:v>2</x:v>
      </x:c>
      <x:c r="J411" s="16" t="str">
        <x:v>银牌</x:v>
      </x:c>
      <x:c r="K411" s="16" t="str">
        <x:v>CHINA</x:v>
      </x:c>
      <x:c r="L411" s="16" t="str">
        <x:v>https://www.worldbridge.org/2025/08/congratulations-to-the-champions/</x:v>
      </x:c>
    </x:row>
    <x:row r="412">
      <x:c r="A412" s="35" t="str">
        <x:v>WBF-084</x:v>
      </x:c>
      <x:c r="B412" s="35" t="str">
        <x:v>Xiaoxue Zuo</x:v>
      </x:c>
      <x:c r="C412" s="35" t="str">
        <x:v>左晓雪</x:v>
      </x:c>
      <x:c r="D412" s="35" t="str">
        <x:v>已由中文报道核对</x:v>
      </x:c>
      <x:c r="E412" s="35" t="str">
        <x:v>2025-08-20—2025-08-31</x:v>
      </x:c>
      <x:c r="F412" s="35" t="str">
        <x:v>海宁，丹麦</x:v>
      </x:c>
      <x:c r="G412" s="35" t="str">
        <x:v>第47届世界桥牌团体锦标赛</x:v>
      </x:c>
      <x:c r="H412" s="35" t="str">
        <x:v>Venice Cup 女子团体</x:v>
      </x:c>
      <x:c r="I412" s="35" t="n">
        <x:v>2</x:v>
      </x:c>
      <x:c r="J412" s="35" t="str">
        <x:v>银牌</x:v>
      </x:c>
      <x:c r="K412" s="35" t="str">
        <x:v>CHINA</x:v>
      </x:c>
      <x:c r="L412" s="35" t="str">
        <x:v>https://www.worldbridge.org/2025/08/congratulations-to-the-champions/</x:v>
      </x:c>
    </x:row>
    <x:row r="413">
      <x:c r="A413" s="16" t="str">
        <x:v>WBF-084</x:v>
      </x:c>
      <x:c r="B413" s="16" t="str">
        <x:v>Zhengjiang Liao</x:v>
      </x:c>
      <x:c r="C413" s="16" t="str"/>
      <x:c r="D413" s="16" t="str">
        <x:v>未核实中文写法（最佳猜测及依据见专表）</x:v>
      </x:c>
      <x:c r="E413" s="16" t="str">
        <x:v>2025-08-20—2025-08-31</x:v>
      </x:c>
      <x:c r="F413" s="16" t="str">
        <x:v>海宁，丹麦</x:v>
      </x:c>
      <x:c r="G413" s="16" t="str">
        <x:v>第47届世界桥牌团体锦标赛</x:v>
      </x:c>
      <x:c r="H413" s="16" t="str">
        <x:v>Venice Cup 女子团体</x:v>
      </x:c>
      <x:c r="I413" s="16" t="n">
        <x:v>2</x:v>
      </x:c>
      <x:c r="J413" s="16" t="str">
        <x:v>银牌</x:v>
      </x:c>
      <x:c r="K413" s="16" t="str">
        <x:v>CHINA</x:v>
      </x:c>
      <x:c r="L413" s="16" t="str">
        <x:v>https://www.worldbridge.org/2025/08/congratulations-to-the-champions/</x:v>
      </x:c>
    </x:row>
    <x:row r="414">
      <x:c r="A414" s="35" t="str">
        <x:v>WBF-084</x:v>
      </x:c>
      <x:c r="B414" s="35" t="str">
        <x:v>Jian Wang</x:v>
      </x:c>
      <x:c r="C414" s="35" t="str"/>
      <x:c r="D414" s="35" t="str">
        <x:v>未核实中文写法（最佳猜测及依据见专表）</x:v>
      </x:c>
      <x:c r="E414" s="35" t="str">
        <x:v>2025-08-20—2025-08-31</x:v>
      </x:c>
      <x:c r="F414" s="35" t="str">
        <x:v>海宁，丹麦</x:v>
      </x:c>
      <x:c r="G414" s="35" t="str">
        <x:v>第47届世界桥牌团体锦标赛</x:v>
      </x:c>
      <x:c r="H414" s="35" t="str">
        <x:v>Venice Cup 女子团体</x:v>
      </x:c>
      <x:c r="I414" s="35" t="n">
        <x:v>2</x:v>
      </x:c>
      <x:c r="J414" s="35" t="str">
        <x:v>银牌</x:v>
      </x:c>
      <x:c r="K414" s="35" t="str">
        <x:v>CHINA</x:v>
      </x:c>
      <x:c r="L414" s="35" t="str">
        <x:v>https://www.worldbridge.org/2025/08/congratulations-to-the-champions/</x:v>
      </x:c>
    </x:row>
    <x:row r="415">
      <x:c r="A415" s="16" t="str">
        <x:v>WBF-084</x:v>
      </x:c>
      <x:c r="B415" s="16" t="str">
        <x:v>Nan Wang</x:v>
      </x:c>
      <x:c r="C415" s="16" t="str">
        <x:v>王南</x:v>
      </x:c>
      <x:c r="D415" s="16" t="str">
        <x:v>已由中文报道核对</x:v>
      </x:c>
      <x:c r="E415" s="16" t="str">
        <x:v>2025-08-20—2025-08-31</x:v>
      </x:c>
      <x:c r="F415" s="16" t="str">
        <x:v>海宁，丹麦</x:v>
      </x:c>
      <x:c r="G415" s="16" t="str">
        <x:v>第47届世界桥牌团体锦标赛</x:v>
      </x:c>
      <x:c r="H415" s="16" t="str">
        <x:v>Venice Cup 女子团体</x:v>
      </x:c>
      <x:c r="I415" s="16" t="n">
        <x:v>2</x:v>
      </x:c>
      <x:c r="J415" s="16" t="str">
        <x:v>银牌</x:v>
      </x:c>
      <x:c r="K415" s="16" t="str">
        <x:v>CHINA</x:v>
      </x:c>
      <x:c r="L415" s="16" t="str">
        <x:v>https://www.worldbridge.org/2025/08/congratulations-to-the-champions/</x:v>
      </x:c>
    </x:row>
    <x:row r="416">
      <x:c r="A416" s="35" t="str">
        <x:v>WBF-085</x:v>
      </x:c>
      <x:c r="B416" s="35" t="str">
        <x:v>Zijian Shao</x:v>
      </x:c>
      <x:c r="C416" s="35" t="str"/>
      <x:c r="D416" s="35" t="str">
        <x:v>未核实中文写法（最佳猜测及依据见专表）</x:v>
      </x:c>
      <x:c r="E416" s="35" t="str">
        <x:v>2025-08-20—2025-08-31</x:v>
      </x:c>
      <x:c r="F416" s="35" t="str">
        <x:v>海宁，丹麦</x:v>
      </x:c>
      <x:c r="G416" s="35" t="str">
        <x:v>第47届世界桥牌团体锦标赛</x:v>
      </x:c>
      <x:c r="H416" s="35" t="str">
        <x:v>Wuhan Cup 混合团体</x:v>
      </x:c>
      <x:c r="I416" s="35" t="n">
        <x:v>2</x:v>
      </x:c>
      <x:c r="J416" s="35" t="str">
        <x:v>银牌</x:v>
      </x:c>
      <x:c r="K416" s="35" t="str">
        <x:v>CHINA</x:v>
      </x:c>
      <x:c r="L416" s="35" t="str">
        <x:v>https://www.worldbridge.org/2025/08/congratulations-to-the-champions/</x:v>
      </x:c>
    </x:row>
    <x:row r="417">
      <x:c r="A417" s="16" t="str">
        <x:v>WBF-085</x:v>
      </x:c>
      <x:c r="B417" s="16" t="str">
        <x:v>Jing Rong Ran</x:v>
      </x:c>
      <x:c r="C417" s="16" t="str"/>
      <x:c r="D417" s="16" t="str">
        <x:v>未核实中文写法（最佳猜测及依据见专表）</x:v>
      </x:c>
      <x:c r="E417" s="16" t="str">
        <x:v>2025-08-20—2025-08-31</x:v>
      </x:c>
      <x:c r="F417" s="16" t="str">
        <x:v>海宁，丹麦</x:v>
      </x:c>
      <x:c r="G417" s="16" t="str">
        <x:v>第47届世界桥牌团体锦标赛</x:v>
      </x:c>
      <x:c r="H417" s="16" t="str">
        <x:v>Wuhan Cup 混合团体</x:v>
      </x:c>
      <x:c r="I417" s="16" t="n">
        <x:v>2</x:v>
      </x:c>
      <x:c r="J417" s="16" t="str">
        <x:v>银牌</x:v>
      </x:c>
      <x:c r="K417" s="16" t="str">
        <x:v>CHINA</x:v>
      </x:c>
      <x:c r="L417" s="16" t="str">
        <x:v>https://www.worldbridge.org/2025/08/congratulations-to-the-champions/</x:v>
      </x:c>
    </x:row>
    <x:row r="418">
      <x:c r="A418" s="35" t="str">
        <x:v>WBF-085</x:v>
      </x:c>
      <x:c r="B418" s="35" t="str">
        <x:v>Yichao Chen</x:v>
      </x:c>
      <x:c r="C418" s="35" t="str">
        <x:v>陈一超</x:v>
      </x:c>
      <x:c r="D418" s="35" t="str">
        <x:v>已由中文报道核对</x:v>
      </x:c>
      <x:c r="E418" s="35" t="str">
        <x:v>2025-08-20—2025-08-31</x:v>
      </x:c>
      <x:c r="F418" s="35" t="str">
        <x:v>海宁，丹麦</x:v>
      </x:c>
      <x:c r="G418" s="35" t="str">
        <x:v>第47届世界桥牌团体锦标赛</x:v>
      </x:c>
      <x:c r="H418" s="35" t="str">
        <x:v>Wuhan Cup 混合团体</x:v>
      </x:c>
      <x:c r="I418" s="35" t="n">
        <x:v>2</x:v>
      </x:c>
      <x:c r="J418" s="35" t="str">
        <x:v>银牌</x:v>
      </x:c>
      <x:c r="K418" s="35" t="str">
        <x:v>CHINA</x:v>
      </x:c>
      <x:c r="L418" s="35" t="str">
        <x:v>https://www.worldbridge.org/2025/08/congratulations-to-the-champions/</x:v>
      </x:c>
    </x:row>
    <x:row r="419">
      <x:c r="A419" s="16" t="str">
        <x:v>WBF-085</x:v>
      </x:c>
      <x:c r="B419" s="16" t="str">
        <x:v>Bo Fu</x:v>
      </x:c>
      <x:c r="C419" s="16" t="str">
        <x:v>傅博</x:v>
      </x:c>
      <x:c r="D419" s="16" t="str">
        <x:v>已由中文报道核对</x:v>
      </x:c>
      <x:c r="E419" s="16" t="str">
        <x:v>2025-08-20—2025-08-31</x:v>
      </x:c>
      <x:c r="F419" s="16" t="str">
        <x:v>海宁，丹麦</x:v>
      </x:c>
      <x:c r="G419" s="16" t="str">
        <x:v>第47届世界桥牌团体锦标赛</x:v>
      </x:c>
      <x:c r="H419" s="16" t="str">
        <x:v>Wuhan Cup 混合团体</x:v>
      </x:c>
      <x:c r="I419" s="16" t="n">
        <x:v>2</x:v>
      </x:c>
      <x:c r="J419" s="16" t="str">
        <x:v>银牌</x:v>
      </x:c>
      <x:c r="K419" s="16" t="str">
        <x:v>CHINA</x:v>
      </x:c>
      <x:c r="L419" s="16" t="str">
        <x:v>https://www.worldbridge.org/2025/08/congratulations-to-the-champions/</x:v>
      </x:c>
    </x:row>
    <x:row r="420">
      <x:c r="A420" s="35" t="str">
        <x:v>WBF-085</x:v>
      </x:c>
      <x:c r="B420" s="35" t="str">
        <x:v>Yinghao Liu</x:v>
      </x:c>
      <x:c r="C420" s="35" t="str">
        <x:v>刘英皓</x:v>
      </x:c>
      <x:c r="D420" s="35" t="str">
        <x:v>已由中文报道核对</x:v>
      </x:c>
      <x:c r="E420" s="35" t="str">
        <x:v>2025-08-20—2025-08-31</x:v>
      </x:c>
      <x:c r="F420" s="35" t="str">
        <x:v>海宁，丹麦</x:v>
      </x:c>
      <x:c r="G420" s="35" t="str">
        <x:v>第47届世界桥牌团体锦标赛</x:v>
      </x:c>
      <x:c r="H420" s="35" t="str">
        <x:v>Wuhan Cup 混合团体</x:v>
      </x:c>
      <x:c r="I420" s="35" t="n">
        <x:v>2</x:v>
      </x:c>
      <x:c r="J420" s="35" t="str">
        <x:v>银牌</x:v>
      </x:c>
      <x:c r="K420" s="35" t="str">
        <x:v>CHINA</x:v>
      </x:c>
      <x:c r="L420" s="35" t="str">
        <x:v>https://www.worldbridge.org/2025/08/congratulations-to-the-champions/</x:v>
      </x:c>
    </x:row>
    <x:row r="421">
      <x:c r="A421" s="16" t="str">
        <x:v>WBF-085</x:v>
      </x:c>
      <x:c r="B421" s="16" t="str">
        <x:v>Yan Lu</x:v>
      </x:c>
      <x:c r="C421" s="16" t="str">
        <x:v>卢燕</x:v>
      </x:c>
      <x:c r="D421" s="16" t="str">
        <x:v>已由中文报道核对</x:v>
      </x:c>
      <x:c r="E421" s="16" t="str">
        <x:v>2025-08-20—2025-08-31</x:v>
      </x:c>
      <x:c r="F421" s="16" t="str">
        <x:v>海宁，丹麦</x:v>
      </x:c>
      <x:c r="G421" s="16" t="str">
        <x:v>第47届世界桥牌团体锦标赛</x:v>
      </x:c>
      <x:c r="H421" s="16" t="str">
        <x:v>Wuhan Cup 混合团体</x:v>
      </x:c>
      <x:c r="I421" s="16" t="n">
        <x:v>2</x:v>
      </x:c>
      <x:c r="J421" s="16" t="str">
        <x:v>银牌</x:v>
      </x:c>
      <x:c r="K421" s="16" t="str">
        <x:v>CHINA</x:v>
      </x:c>
      <x:c r="L421" s="16" t="str">
        <x:v>https://www.worldbridge.org/2025/08/congratulations-to-the-champions/</x:v>
      </x:c>
    </x:row>
    <x:row r="422">
      <x:c r="A422" s="35" t="str">
        <x:v>WBF-086</x:v>
      </x:c>
      <x:c r="B422" s="35" t="str">
        <x:v>Lepeng Shen</x:v>
      </x:c>
      <x:c r="C422" s="35" t="str"/>
      <x:c r="D422" s="35" t="str">
        <x:v>未核实中文写法（最佳猜测及依据见专表）</x:v>
      </x:c>
      <x:c r="E422" s="35" t="str">
        <x:v>2026-08-03—2026-08-08</x:v>
      </x:c>
      <x:c r="F422" s="35" t="str">
        <x:v>合肥，中国</x:v>
      </x:c>
      <x:c r="G422" s="35" t="str">
        <x:v>第9届世界青年跨国锦标赛</x:v>
      </x:c>
      <x:c r="H422" s="35" t="str">
        <x:v>U16 Pairs</x:v>
      </x:c>
      <x:c r="I422" s="35" t="n">
        <x:v>1</x:v>
      </x:c>
      <x:c r="J422" s="35" t="str">
        <x:v>金牌</x:v>
      </x:c>
      <x:c r="K422" s="35" t="str">
        <x:v>Lepeng Shen – Xiao Xu</x:v>
      </x:c>
      <x:c r="L422" s="35" t="str">
        <x:v>https://db.worldbridge.org/Repository/tourn/hefei.26/microsite/Asp/TotalPairs.asp?qtournid=2668&amp;qgroupno=1&amp;qroundno=3</x:v>
      </x:c>
    </x:row>
    <x:row r="423">
      <x:c r="A423" s="16" t="str">
        <x:v>WBF-086</x:v>
      </x:c>
      <x:c r="B423" s="16" t="str">
        <x:v>Xiao Xu</x:v>
      </x:c>
      <x:c r="C423" s="16" t="str"/>
      <x:c r="D423" s="16" t="str">
        <x:v>未核实中文写法（最佳猜测及依据见专表）</x:v>
      </x:c>
      <x:c r="E423" s="16" t="str">
        <x:v>2026-08-03—2026-08-08</x:v>
      </x:c>
      <x:c r="F423" s="16" t="str">
        <x:v>合肥，中国</x:v>
      </x:c>
      <x:c r="G423" s="16" t="str">
        <x:v>第9届世界青年跨国锦标赛</x:v>
      </x:c>
      <x:c r="H423" s="16" t="str">
        <x:v>U16 Pairs</x:v>
      </x:c>
      <x:c r="I423" s="16" t="n">
        <x:v>1</x:v>
      </x:c>
      <x:c r="J423" s="16" t="str">
        <x:v>金牌</x:v>
      </x:c>
      <x:c r="K423" s="16" t="str">
        <x:v>Lepeng Shen – Xiao Xu</x:v>
      </x:c>
      <x:c r="L423" s="16" t="str">
        <x:v>https://db.worldbridge.org/Repository/tourn/hefei.26/microsite/Asp/TotalPairs.asp?qtournid=2668&amp;qgroupno=1&amp;qroundno=3</x:v>
      </x:c>
    </x:row>
    <x:row r="424">
      <x:c r="A424" s="35" t="str">
        <x:v>WBF-087</x:v>
      </x:c>
      <x:c r="B424" s="35" t="str">
        <x:v>Xinhao Wu</x:v>
      </x:c>
      <x:c r="C424" s="35" t="str"/>
      <x:c r="D424" s="35" t="str">
        <x:v>未核实中文写法（最佳猜测及依据见专表）</x:v>
      </x:c>
      <x:c r="E424" s="35" t="str">
        <x:v>2026-08-03—2026-08-08</x:v>
      </x:c>
      <x:c r="F424" s="35" t="str">
        <x:v>合肥，中国</x:v>
      </x:c>
      <x:c r="G424" s="35" t="str">
        <x:v>第9届世界青年跨国锦标赛</x:v>
      </x:c>
      <x:c r="H424" s="35" t="str">
        <x:v>U16 Pairs</x:v>
      </x:c>
      <x:c r="I424" s="35" t="n">
        <x:v>2</x:v>
      </x:c>
      <x:c r="J424" s="35" t="str">
        <x:v>银牌</x:v>
      </x:c>
      <x:c r="K424" s="35" t="str">
        <x:v>Xinhao Wu – Yezhen Ji</x:v>
      </x:c>
      <x:c r="L424" s="35" t="str">
        <x:v>https://db.worldbridge.org/Repository/tourn/hefei.26/microsite/Asp/TotalPairs.asp?qtournid=2668&amp;qgroupno=1&amp;qroundno=3</x:v>
      </x:c>
    </x:row>
    <x:row r="425">
      <x:c r="A425" s="16" t="str">
        <x:v>WBF-087</x:v>
      </x:c>
      <x:c r="B425" s="16" t="str">
        <x:v>Yezhen Ji</x:v>
      </x:c>
      <x:c r="C425" s="16" t="str"/>
      <x:c r="D425" s="16" t="str">
        <x:v>未核实中文写法（最佳猜测及依据见专表）</x:v>
      </x:c>
      <x:c r="E425" s="16" t="str">
        <x:v>2026-08-03—2026-08-08</x:v>
      </x:c>
      <x:c r="F425" s="16" t="str">
        <x:v>合肥，中国</x:v>
      </x:c>
      <x:c r="G425" s="16" t="str">
        <x:v>第9届世界青年跨国锦标赛</x:v>
      </x:c>
      <x:c r="H425" s="16" t="str">
        <x:v>U16 Pairs</x:v>
      </x:c>
      <x:c r="I425" s="16" t="n">
        <x:v>2</x:v>
      </x:c>
      <x:c r="J425" s="16" t="str">
        <x:v>银牌</x:v>
      </x:c>
      <x:c r="K425" s="16" t="str">
        <x:v>Xinhao Wu – Yezhen Ji</x:v>
      </x:c>
      <x:c r="L425" s="16" t="str">
        <x:v>https://db.worldbridge.org/Repository/tourn/hefei.26/microsite/Asp/TotalPairs.asp?qtournid=2668&amp;qgroupno=1&amp;qroundno=3</x:v>
      </x:c>
    </x:row>
    <x:row r="426">
      <x:c r="A426" s="35" t="str">
        <x:v>WBF-088</x:v>
      </x:c>
      <x:c r="B426" s="35" t="str">
        <x:v>Yanhua Hu</x:v>
      </x:c>
      <x:c r="C426" s="35" t="str"/>
      <x:c r="D426" s="35" t="str">
        <x:v>未核实中文写法（最佳猜测及依据见专表）</x:v>
      </x:c>
      <x:c r="E426" s="35" t="str">
        <x:v>2026-08-03—2026-08-08</x:v>
      </x:c>
      <x:c r="F426" s="35" t="str">
        <x:v>合肥，中国</x:v>
      </x:c>
      <x:c r="G426" s="35" t="str">
        <x:v>第9届世界青年跨国锦标赛</x:v>
      </x:c>
      <x:c r="H426" s="35" t="str">
        <x:v>U16 Teams</x:v>
      </x:c>
      <x:c r="I426" s="35" t="n">
        <x:v>1</x:v>
      </x:c>
      <x:c r="J426" s="35" t="str">
        <x:v>金牌</x:v>
      </x:c>
      <x:c r="K426" s="35" t="str">
        <x:v>NT TTAOQI</x:v>
      </x:c>
      <x:c r="L426" s="35" t="str">
        <x:v>https://db.worldbridge.org/Repository/tourn/hefei.26/microsite/results.htm</x:v>
      </x:c>
    </x:row>
    <x:row r="427">
      <x:c r="A427" s="16" t="str">
        <x:v>WBF-088</x:v>
      </x:c>
      <x:c r="B427" s="16" t="str">
        <x:v>Yanjia Hu</x:v>
      </x:c>
      <x:c r="C427" s="16" t="str"/>
      <x:c r="D427" s="16" t="str">
        <x:v>未核实中文写法（最佳猜测及依据见专表）</x:v>
      </x:c>
      <x:c r="E427" s="16" t="str">
        <x:v>2026-08-03—2026-08-08</x:v>
      </x:c>
      <x:c r="F427" s="16" t="str">
        <x:v>合肥，中国</x:v>
      </x:c>
      <x:c r="G427" s="16" t="str">
        <x:v>第9届世界青年跨国锦标赛</x:v>
      </x:c>
      <x:c r="H427" s="16" t="str">
        <x:v>U16 Teams</x:v>
      </x:c>
      <x:c r="I427" s="16" t="n">
        <x:v>1</x:v>
      </x:c>
      <x:c r="J427" s="16" t="str">
        <x:v>金牌</x:v>
      </x:c>
      <x:c r="K427" s="16" t="str">
        <x:v>NT TTAOQI</x:v>
      </x:c>
      <x:c r="L427" s="16" t="str">
        <x:v>https://db.worldbridge.org/Repository/tourn/hefei.26/microsite/results.htm</x:v>
      </x:c>
    </x:row>
    <x:row r="428">
      <x:c r="A428" s="35" t="str">
        <x:v>WBF-088</x:v>
      </x:c>
      <x:c r="B428" s="35" t="str">
        <x:v>Yichen Luo</x:v>
      </x:c>
      <x:c r="C428" s="35" t="str"/>
      <x:c r="D428" s="35" t="str">
        <x:v>未核实中文写法（最佳猜测及依据见专表）</x:v>
      </x:c>
      <x:c r="E428" s="35" t="str">
        <x:v>2026-08-03—2026-08-08</x:v>
      </x:c>
      <x:c r="F428" s="35" t="str">
        <x:v>合肥，中国</x:v>
      </x:c>
      <x:c r="G428" s="35" t="str">
        <x:v>第9届世界青年跨国锦标赛</x:v>
      </x:c>
      <x:c r="H428" s="35" t="str">
        <x:v>U16 Teams</x:v>
      </x:c>
      <x:c r="I428" s="35" t="n">
        <x:v>1</x:v>
      </x:c>
      <x:c r="J428" s="35" t="str">
        <x:v>金牌</x:v>
      </x:c>
      <x:c r="K428" s="35" t="str">
        <x:v>NT TTAOQI</x:v>
      </x:c>
      <x:c r="L428" s="35" t="str">
        <x:v>https://db.worldbridge.org/Repository/tourn/hefei.26/microsite/results.htm</x:v>
      </x:c>
    </x:row>
    <x:row r="429">
      <x:c r="A429" s="16" t="str">
        <x:v>WBF-088</x:v>
      </x:c>
      <x:c r="B429" s="16" t="str">
        <x:v>Xinhao Wu</x:v>
      </x:c>
      <x:c r="C429" s="16" t="str"/>
      <x:c r="D429" s="16" t="str">
        <x:v>未核实中文写法（最佳猜测及依据见专表）</x:v>
      </x:c>
      <x:c r="E429" s="16" t="str">
        <x:v>2026-08-03—2026-08-08</x:v>
      </x:c>
      <x:c r="F429" s="16" t="str">
        <x:v>合肥，中国</x:v>
      </x:c>
      <x:c r="G429" s="16" t="str">
        <x:v>第9届世界青年跨国锦标赛</x:v>
      </x:c>
      <x:c r="H429" s="16" t="str">
        <x:v>U16 Teams</x:v>
      </x:c>
      <x:c r="I429" s="16" t="n">
        <x:v>1</x:v>
      </x:c>
      <x:c r="J429" s="16" t="str">
        <x:v>金牌</x:v>
      </x:c>
      <x:c r="K429" s="16" t="str">
        <x:v>NT TTAOQI</x:v>
      </x:c>
      <x:c r="L429" s="16" t="str">
        <x:v>https://db.worldbridge.org/Repository/tourn/hefei.26/microsite/results.htm</x:v>
      </x:c>
    </x:row>
    <x:row r="430">
      <x:c r="A430" s="35" t="str">
        <x:v>WBF-088</x:v>
      </x:c>
      <x:c r="B430" s="35" t="str">
        <x:v>Xuze Xu</x:v>
      </x:c>
      <x:c r="C430" s="35" t="str"/>
      <x:c r="D430" s="35" t="str">
        <x:v>未核实中文写法（最佳猜测及依据见专表）</x:v>
      </x:c>
      <x:c r="E430" s="35" t="str">
        <x:v>2026-08-03—2026-08-08</x:v>
      </x:c>
      <x:c r="F430" s="35" t="str">
        <x:v>合肥，中国</x:v>
      </x:c>
      <x:c r="G430" s="35" t="str">
        <x:v>第9届世界青年跨国锦标赛</x:v>
      </x:c>
      <x:c r="H430" s="35" t="str">
        <x:v>U16 Teams</x:v>
      </x:c>
      <x:c r="I430" s="35" t="n">
        <x:v>1</x:v>
      </x:c>
      <x:c r="J430" s="35" t="str">
        <x:v>金牌</x:v>
      </x:c>
      <x:c r="K430" s="35" t="str">
        <x:v>NT TTAOQI</x:v>
      </x:c>
      <x:c r="L430" s="35" t="str">
        <x:v>https://db.worldbridge.org/Repository/tourn/hefei.26/microsite/results.htm</x:v>
      </x:c>
    </x:row>
    <x:row r="431">
      <x:c r="A431" s="16" t="str">
        <x:v>WBF-089</x:v>
      </x:c>
      <x:c r="B431" s="16" t="str">
        <x:v>Zimo Chen</x:v>
      </x:c>
      <x:c r="C431" s="16" t="str"/>
      <x:c r="D431" s="16" t="str">
        <x:v>未核实中文写法（最佳猜测及依据见专表）</x:v>
      </x:c>
      <x:c r="E431" s="16" t="str">
        <x:v>2026-08-03—2026-08-08</x:v>
      </x:c>
      <x:c r="F431" s="16" t="str">
        <x:v>合肥，中国</x:v>
      </x:c>
      <x:c r="G431" s="16" t="str">
        <x:v>第9届世界青年跨国锦标赛</x:v>
      </x:c>
      <x:c r="H431" s="16" t="str">
        <x:v>U16 Teams</x:v>
      </x:c>
      <x:c r="I431" s="16" t="n">
        <x:v>3</x:v>
      </x:c>
      <x:c r="J431" s="16" t="str">
        <x:v>铜牌</x:v>
      </x:c>
      <x:c r="K431" s="16" t="str">
        <x:v>SHANGHAI NTBC TANK</x:v>
      </x:c>
      <x:c r="L431" s="16" t="str">
        <x:v>https://db.worldbridge.org/Repository/tourn/hefei.26/microsite/results.htm</x:v>
      </x:c>
    </x:row>
    <x:row r="432">
      <x:c r="A432" s="35" t="str">
        <x:v>WBF-089</x:v>
      </x:c>
      <x:c r="B432" s="35" t="str">
        <x:v>Cheng Lin</x:v>
      </x:c>
      <x:c r="C432" s="35" t="str"/>
      <x:c r="D432" s="35" t="str">
        <x:v>未核实中文写法（最佳猜测及依据见专表）</x:v>
      </x:c>
      <x:c r="E432" s="35" t="str">
        <x:v>2026-08-03—2026-08-08</x:v>
      </x:c>
      <x:c r="F432" s="35" t="str">
        <x:v>合肥，中国</x:v>
      </x:c>
      <x:c r="G432" s="35" t="str">
        <x:v>第9届世界青年跨国锦标赛</x:v>
      </x:c>
      <x:c r="H432" s="35" t="str">
        <x:v>U16 Teams</x:v>
      </x:c>
      <x:c r="I432" s="35" t="n">
        <x:v>3</x:v>
      </x:c>
      <x:c r="J432" s="35" t="str">
        <x:v>铜牌</x:v>
      </x:c>
      <x:c r="K432" s="35" t="str">
        <x:v>SHANGHAI NTBC TANK</x:v>
      </x:c>
      <x:c r="L432" s="35" t="str">
        <x:v>https://db.worldbridge.org/Repository/tourn/hefei.26/microsite/results.htm</x:v>
      </x:c>
    </x:row>
    <x:row r="433">
      <x:c r="A433" s="16" t="str">
        <x:v>WBF-089</x:v>
      </x:c>
      <x:c r="B433" s="16" t="str">
        <x:v>Di Wang</x:v>
      </x:c>
      <x:c r="C433" s="16" t="str"/>
      <x:c r="D433" s="16" t="str">
        <x:v>未核实中文写法（最佳猜测及依据见专表）</x:v>
      </x:c>
      <x:c r="E433" s="16" t="str">
        <x:v>2026-08-03—2026-08-08</x:v>
      </x:c>
      <x:c r="F433" s="16" t="str">
        <x:v>合肥，中国</x:v>
      </x:c>
      <x:c r="G433" s="16" t="str">
        <x:v>第9届世界青年跨国锦标赛</x:v>
      </x:c>
      <x:c r="H433" s="16" t="str">
        <x:v>U16 Teams</x:v>
      </x:c>
      <x:c r="I433" s="16" t="n">
        <x:v>3</x:v>
      </x:c>
      <x:c r="J433" s="16" t="str">
        <x:v>铜牌</x:v>
      </x:c>
      <x:c r="K433" s="16" t="str">
        <x:v>SHANGHAI NTBC TANK</x:v>
      </x:c>
      <x:c r="L433" s="16" t="str">
        <x:v>https://db.worldbridge.org/Repository/tourn/hefei.26/microsite/results.htm</x:v>
      </x:c>
    </x:row>
    <x:row r="434">
      <x:c r="A434" s="35" t="str">
        <x:v>WBF-089</x:v>
      </x:c>
      <x:c r="B434" s="35" t="str">
        <x:v>Chenyang Xiong</x:v>
      </x:c>
      <x:c r="C434" s="35" t="str"/>
      <x:c r="D434" s="35" t="str">
        <x:v>未核实中文写法（最佳猜测及依据见专表）</x:v>
      </x:c>
      <x:c r="E434" s="35" t="str">
        <x:v>2026-08-03—2026-08-08</x:v>
      </x:c>
      <x:c r="F434" s="35" t="str">
        <x:v>合肥，中国</x:v>
      </x:c>
      <x:c r="G434" s="35" t="str">
        <x:v>第9届世界青年跨国锦标赛</x:v>
      </x:c>
      <x:c r="H434" s="35" t="str">
        <x:v>U16 Teams</x:v>
      </x:c>
      <x:c r="I434" s="35" t="n">
        <x:v>3</x:v>
      </x:c>
      <x:c r="J434" s="35" t="str">
        <x:v>铜牌</x:v>
      </x:c>
      <x:c r="K434" s="35" t="str">
        <x:v>SHANGHAI NTBC TANK</x:v>
      </x:c>
      <x:c r="L434" s="35" t="str">
        <x:v>https://db.worldbridge.org/Repository/tourn/hefei.26/microsite/results.htm</x:v>
      </x:c>
    </x:row>
    <x:row r="435">
      <x:c r="A435" s="16" t="str">
        <x:v>WBF-089</x:v>
      </x:c>
      <x:c r="B435" s="16" t="str">
        <x:v>Yuchen Ye</x:v>
      </x:c>
      <x:c r="C435" s="16" t="str"/>
      <x:c r="D435" s="16" t="str">
        <x:v>未核实中文写法（最佳猜测及依据见专表）</x:v>
      </x:c>
      <x:c r="E435" s="16" t="str">
        <x:v>2026-08-03—2026-08-08</x:v>
      </x:c>
      <x:c r="F435" s="16" t="str">
        <x:v>合肥，中国</x:v>
      </x:c>
      <x:c r="G435" s="16" t="str">
        <x:v>第9届世界青年跨国锦标赛</x:v>
      </x:c>
      <x:c r="H435" s="16" t="str">
        <x:v>U16 Teams</x:v>
      </x:c>
      <x:c r="I435" s="16" t="n">
        <x:v>3</x:v>
      </x:c>
      <x:c r="J435" s="16" t="str">
        <x:v>铜牌</x:v>
      </x:c>
      <x:c r="K435" s="16" t="str">
        <x:v>SHANGHAI NTBC TANK</x:v>
      </x:c>
      <x:c r="L435" s="16" t="str">
        <x:v>https://db.worldbridge.org/Repository/tourn/hefei.26/microsite/results.htm</x:v>
      </x:c>
    </x:row>
    <x:row r="436">
      <x:c r="A436" s="35" t="str">
        <x:v>WBF-089</x:v>
      </x:c>
      <x:c r="B436" s="35" t="str">
        <x:v>Yuran Zhang</x:v>
      </x:c>
      <x:c r="C436" s="35" t="str"/>
      <x:c r="D436" s="35" t="str">
        <x:v>未核实中文写法（最佳猜测及依据见专表）</x:v>
      </x:c>
      <x:c r="E436" s="35" t="str">
        <x:v>2026-08-03—2026-08-08</x:v>
      </x:c>
      <x:c r="F436" s="35" t="str">
        <x:v>合肥，中国</x:v>
      </x:c>
      <x:c r="G436" s="35" t="str">
        <x:v>第9届世界青年跨国锦标赛</x:v>
      </x:c>
      <x:c r="H436" s="35" t="str">
        <x:v>U16 Teams</x:v>
      </x:c>
      <x:c r="I436" s="35" t="n">
        <x:v>3</x:v>
      </x:c>
      <x:c r="J436" s="35" t="str">
        <x:v>铜牌</x:v>
      </x:c>
      <x:c r="K436" s="35" t="str">
        <x:v>SHANGHAI NTBC TANK</x:v>
      </x:c>
      <x:c r="L436" s="35" t="str">
        <x:v>https://db.worldbridge.org/Repository/tourn/hefei.26/microsite/results.htm</x:v>
      </x:c>
    </x:row>
    <x:row r="437">
      <x:c r="A437" s="16" t="str">
        <x:v>WBF-090</x:v>
      </x:c>
      <x:c r="B437" s="16" t="str">
        <x:v>Yuxuan Liu</x:v>
      </x:c>
      <x:c r="C437" s="16" t="str"/>
      <x:c r="D437" s="16" t="str">
        <x:v>未核实中文写法（最佳猜测及依据见专表）</x:v>
      </x:c>
      <x:c r="E437" s="16" t="str">
        <x:v>2026-08-03—2026-08-08</x:v>
      </x:c>
      <x:c r="F437" s="16" t="str">
        <x:v>合肥，中国</x:v>
      </x:c>
      <x:c r="G437" s="16" t="str">
        <x:v>第9届世界青年跨国锦标赛</x:v>
      </x:c>
      <x:c r="H437" s="16" t="str">
        <x:v>U21 Pairs</x:v>
      </x:c>
      <x:c r="I437" s="16" t="n">
        <x:v>2</x:v>
      </x:c>
      <x:c r="J437" s="16" t="str">
        <x:v>银牌</x:v>
      </x:c>
      <x:c r="K437" s="16" t="str">
        <x:v>Jeff Xiao – Yuxuan Liu</x:v>
      </x:c>
      <x:c r="L437" s="16" t="str">
        <x:v>https://db.worldbridge.org/Repository/tourn/hefei.26/microsite/Asp/TotalPairs.asp?qtournid=2666&amp;qgroupno=1&amp;qroundno=3</x:v>
      </x:c>
    </x:row>
    <x:row r="438">
      <x:c r="A438" s="35" t="str">
        <x:v>WBF-091</x:v>
      </x:c>
      <x:c r="B438" s="35" t="str">
        <x:v>Che Han</x:v>
      </x:c>
      <x:c r="C438" s="35" t="str"/>
      <x:c r="D438" s="35" t="str">
        <x:v>未核实中文写法（最佳猜测及依据见专表）</x:v>
      </x:c>
      <x:c r="E438" s="35" t="str">
        <x:v>2026-08-03—2026-08-08</x:v>
      </x:c>
      <x:c r="F438" s="35" t="str">
        <x:v>合肥，中国</x:v>
      </x:c>
      <x:c r="G438" s="35" t="str">
        <x:v>第9届世界青年跨国锦标赛</x:v>
      </x:c>
      <x:c r="H438" s="35" t="str">
        <x:v>U21 Pairs</x:v>
      </x:c>
      <x:c r="I438" s="35" t="n">
        <x:v>3</x:v>
      </x:c>
      <x:c r="J438" s="35" t="str">
        <x:v>铜牌</x:v>
      </x:c>
      <x:c r="K438" s="35" t="str">
        <x:v>Che Han – Yuekai Yang</x:v>
      </x:c>
      <x:c r="L438" s="35" t="str">
        <x:v>https://db.worldbridge.org/Repository/tourn/hefei.26/microsite/Asp/TotalPairs.asp?qtournid=2666&amp;qgroupno=1&amp;qroundno=3</x:v>
      </x:c>
    </x:row>
    <x:row r="439">
      <x:c r="A439" s="16" t="str">
        <x:v>WBF-091</x:v>
      </x:c>
      <x:c r="B439" s="16" t="str">
        <x:v>Yuekai Yang</x:v>
      </x:c>
      <x:c r="C439" s="16" t="str"/>
      <x:c r="D439" s="16" t="str">
        <x:v>未核实中文写法（最佳猜测及依据见专表）</x:v>
      </x:c>
      <x:c r="E439" s="16" t="str">
        <x:v>2026-08-03—2026-08-08</x:v>
      </x:c>
      <x:c r="F439" s="16" t="str">
        <x:v>合肥，中国</x:v>
      </x:c>
      <x:c r="G439" s="16" t="str">
        <x:v>第9届世界青年跨国锦标赛</x:v>
      </x:c>
      <x:c r="H439" s="16" t="str">
        <x:v>U21 Pairs</x:v>
      </x:c>
      <x:c r="I439" s="16" t="n">
        <x:v>3</x:v>
      </x:c>
      <x:c r="J439" s="16" t="str">
        <x:v>铜牌</x:v>
      </x:c>
      <x:c r="K439" s="16" t="str">
        <x:v>Che Han – Yuekai Yang</x:v>
      </x:c>
      <x:c r="L439" s="16" t="str">
        <x:v>https://db.worldbridge.org/Repository/tourn/hefei.26/microsite/Asp/TotalPairs.asp?qtournid=2666&amp;qgroupno=1&amp;qroundno=3</x:v>
      </x:c>
    </x:row>
    <x:row r="440">
      <x:c r="A440" s="35" t="str">
        <x:v>WBF-092</x:v>
      </x:c>
      <x:c r="B440" s="35" t="str">
        <x:v>Yizheng Ge</x:v>
      </x:c>
      <x:c r="C440" s="35" t="str"/>
      <x:c r="D440" s="35" t="str">
        <x:v>未核实中文写法（最佳猜测及依据见专表）</x:v>
      </x:c>
      <x:c r="E440" s="35" t="str">
        <x:v>2026-08-03—2026-08-08</x:v>
      </x:c>
      <x:c r="F440" s="35" t="str">
        <x:v>合肥，中国</x:v>
      </x:c>
      <x:c r="G440" s="35" t="str">
        <x:v>第9届世界青年跨国锦标赛</x:v>
      </x:c>
      <x:c r="H440" s="35" t="str">
        <x:v>U21 Teams</x:v>
      </x:c>
      <x:c r="I440" s="35" t="n">
        <x:v>2</x:v>
      </x:c>
      <x:c r="J440" s="35" t="str">
        <x:v>银牌</x:v>
      </x:c>
      <x:c r="K440" s="35" t="str">
        <x:v>CHINA RDFZ BAXI</x:v>
      </x:c>
      <x:c r="L440" s="35" t="str">
        <x:v>https://db.worldbridge.org/Repository/tourn/hefei.26/microsite/results.htm</x:v>
      </x:c>
    </x:row>
    <x:row r="441">
      <x:c r="A441" s="16" t="str">
        <x:v>WBF-092</x:v>
      </x:c>
      <x:c r="B441" s="16" t="str">
        <x:v>Che Han</x:v>
      </x:c>
      <x:c r="C441" s="16" t="str"/>
      <x:c r="D441" s="16" t="str">
        <x:v>未核实中文写法（最佳猜测及依据见专表）</x:v>
      </x:c>
      <x:c r="E441" s="16" t="str">
        <x:v>2026-08-03—2026-08-08</x:v>
      </x:c>
      <x:c r="F441" s="16" t="str">
        <x:v>合肥，中国</x:v>
      </x:c>
      <x:c r="G441" s="16" t="str">
        <x:v>第9届世界青年跨国锦标赛</x:v>
      </x:c>
      <x:c r="H441" s="16" t="str">
        <x:v>U21 Teams</x:v>
      </x:c>
      <x:c r="I441" s="16" t="n">
        <x:v>2</x:v>
      </x:c>
      <x:c r="J441" s="16" t="str">
        <x:v>银牌</x:v>
      </x:c>
      <x:c r="K441" s="16" t="str">
        <x:v>CHINA RDFZ BAXI</x:v>
      </x:c>
      <x:c r="L441" s="16" t="str">
        <x:v>https://db.worldbridge.org/Repository/tourn/hefei.26/microsite/results.htm</x:v>
      </x:c>
    </x:row>
    <x:row r="442">
      <x:c r="A442" s="35" t="str">
        <x:v>WBF-092</x:v>
      </x:c>
      <x:c r="B442" s="35" t="str">
        <x:v>Xincheng Lyu</x:v>
      </x:c>
      <x:c r="C442" s="35" t="str"/>
      <x:c r="D442" s="35" t="str">
        <x:v>未核实中文写法（最佳猜测及依据见专表）</x:v>
      </x:c>
      <x:c r="E442" s="35" t="str">
        <x:v>2026-08-03—2026-08-08</x:v>
      </x:c>
      <x:c r="F442" s="35" t="str">
        <x:v>合肥，中国</x:v>
      </x:c>
      <x:c r="G442" s="35" t="str">
        <x:v>第9届世界青年跨国锦标赛</x:v>
      </x:c>
      <x:c r="H442" s="35" t="str">
        <x:v>U21 Teams</x:v>
      </x:c>
      <x:c r="I442" s="35" t="n">
        <x:v>2</x:v>
      </x:c>
      <x:c r="J442" s="35" t="str">
        <x:v>银牌</x:v>
      </x:c>
      <x:c r="K442" s="35" t="str">
        <x:v>CHINA RDFZ BAXI</x:v>
      </x:c>
      <x:c r="L442" s="35" t="str">
        <x:v>https://db.worldbridge.org/Repository/tourn/hefei.26/microsite/results.htm</x:v>
      </x:c>
    </x:row>
    <x:row r="443">
      <x:c r="A443" s="16" t="str">
        <x:v>WBF-092</x:v>
      </x:c>
      <x:c r="B443" s="16" t="str">
        <x:v>Hanting Wang</x:v>
      </x:c>
      <x:c r="C443" s="16" t="str"/>
      <x:c r="D443" s="16" t="str">
        <x:v>未核实中文写法（最佳猜测及依据见专表）</x:v>
      </x:c>
      <x:c r="E443" s="16" t="str">
        <x:v>2026-08-03—2026-08-08</x:v>
      </x:c>
      <x:c r="F443" s="16" t="str">
        <x:v>合肥，中国</x:v>
      </x:c>
      <x:c r="G443" s="16" t="str">
        <x:v>第9届世界青年跨国锦标赛</x:v>
      </x:c>
      <x:c r="H443" s="16" t="str">
        <x:v>U21 Teams</x:v>
      </x:c>
      <x:c r="I443" s="16" t="n">
        <x:v>2</x:v>
      </x:c>
      <x:c r="J443" s="16" t="str">
        <x:v>银牌</x:v>
      </x:c>
      <x:c r="K443" s="16" t="str">
        <x:v>CHINA RDFZ BAXI</x:v>
      </x:c>
      <x:c r="L443" s="16" t="str">
        <x:v>https://db.worldbridge.org/Repository/tourn/hefei.26/microsite/results.htm</x:v>
      </x:c>
    </x:row>
    <x:row r="444">
      <x:c r="A444" s="35" t="str">
        <x:v>WBF-092</x:v>
      </x:c>
      <x:c r="B444" s="35" t="str">
        <x:v>Yuekai Yang</x:v>
      </x:c>
      <x:c r="C444" s="35" t="str"/>
      <x:c r="D444" s="35" t="str">
        <x:v>未核实中文写法（最佳猜测及依据见专表）</x:v>
      </x:c>
      <x:c r="E444" s="35" t="str">
        <x:v>2026-08-03—2026-08-08</x:v>
      </x:c>
      <x:c r="F444" s="35" t="str">
        <x:v>合肥，中国</x:v>
      </x:c>
      <x:c r="G444" s="35" t="str">
        <x:v>第9届世界青年跨国锦标赛</x:v>
      </x:c>
      <x:c r="H444" s="35" t="str">
        <x:v>U21 Teams</x:v>
      </x:c>
      <x:c r="I444" s="35" t="n">
        <x:v>2</x:v>
      </x:c>
      <x:c r="J444" s="35" t="str">
        <x:v>银牌</x:v>
      </x:c>
      <x:c r="K444" s="35" t="str">
        <x:v>CHINA RDFZ BAXI</x:v>
      </x:c>
      <x:c r="L444" s="35" t="str">
        <x:v>https://db.worldbridge.org/Repository/tourn/hefei.26/microsite/results.htm</x:v>
      </x:c>
    </x:row>
    <x:row r="445">
      <x:c r="A445" s="16" t="str">
        <x:v>WBF-092</x:v>
      </x:c>
      <x:c r="B445" s="16" t="str">
        <x:v>Zixuan Yuan</x:v>
      </x:c>
      <x:c r="C445" s="16" t="str"/>
      <x:c r="D445" s="16" t="str">
        <x:v>未核实中文写法（最佳猜测及依据见专表）</x:v>
      </x:c>
      <x:c r="E445" s="16" t="str">
        <x:v>2026-08-03—2026-08-08</x:v>
      </x:c>
      <x:c r="F445" s="16" t="str">
        <x:v>合肥，中国</x:v>
      </x:c>
      <x:c r="G445" s="16" t="str">
        <x:v>第9届世界青年跨国锦标赛</x:v>
      </x:c>
      <x:c r="H445" s="16" t="str">
        <x:v>U21 Teams</x:v>
      </x:c>
      <x:c r="I445" s="16" t="n">
        <x:v>2</x:v>
      </x:c>
      <x:c r="J445" s="16" t="str">
        <x:v>银牌</x:v>
      </x:c>
      <x:c r="K445" s="16" t="str">
        <x:v>CHINA RDFZ BAXI</x:v>
      </x:c>
      <x:c r="L445" s="16" t="str">
        <x:v>https://db.worldbridge.org/Repository/tourn/hefei.26/microsite/results.htm</x:v>
      </x:c>
    </x:row>
    <x:row r="446">
      <x:c r="A446" s="35" t="str">
        <x:v>WBF-093</x:v>
      </x:c>
      <x:c r="B446" s="35" t="str">
        <x:v>Baozhuo Jiang</x:v>
      </x:c>
      <x:c r="C446" s="35" t="str"/>
      <x:c r="D446" s="35" t="str">
        <x:v>未核实中文写法（最佳猜测及依据见专表）</x:v>
      </x:c>
      <x:c r="E446" s="35" t="str">
        <x:v>2026-08-03—2026-08-08</x:v>
      </x:c>
      <x:c r="F446" s="35" t="str">
        <x:v>合肥，中国</x:v>
      </x:c>
      <x:c r="G446" s="35" t="str">
        <x:v>第9届世界青年跨国锦标赛</x:v>
      </x:c>
      <x:c r="H446" s="35" t="str">
        <x:v>U26 Pairs</x:v>
      </x:c>
      <x:c r="I446" s="35" t="n">
        <x:v>1</x:v>
      </x:c>
      <x:c r="J446" s="35" t="str">
        <x:v>金牌</x:v>
      </x:c>
      <x:c r="K446" s="35" t="str">
        <x:v>Baozhuo Jiang – Brian Zhang</x:v>
      </x:c>
      <x:c r="L446" s="35" t="str">
        <x:v>https://db.worldbridge.org/Repository/tourn/hefei.26/microsite/Asp/TotalPairs.asp?qtournid=2665&amp;qgroupno=1&amp;qroundno=3</x:v>
      </x:c>
    </x:row>
    <x:row r="447">
      <x:c r="A447" s="16" t="str">
        <x:v>WBF-094</x:v>
      </x:c>
      <x:c r="B447" s="16" t="str">
        <x:v>Chongshang Huang</x:v>
      </x:c>
      <x:c r="C447" s="16" t="str"/>
      <x:c r="D447" s="16" t="str">
        <x:v>未核实中文写法（最佳猜测及依据见专表）</x:v>
      </x:c>
      <x:c r="E447" s="16" t="str">
        <x:v>2026-08-03—2026-08-08</x:v>
      </x:c>
      <x:c r="F447" s="16" t="str">
        <x:v>合肥，中国</x:v>
      </x:c>
      <x:c r="G447" s="16" t="str">
        <x:v>第9届世界青年跨国锦标赛</x:v>
      </x:c>
      <x:c r="H447" s="16" t="str">
        <x:v>U26 Pairs</x:v>
      </x:c>
      <x:c r="I447" s="16" t="n">
        <x:v>2</x:v>
      </x:c>
      <x:c r="J447" s="16" t="str">
        <x:v>银牌</x:v>
      </x:c>
      <x:c r="K447" s="16" t="str">
        <x:v>Chongshang Huang – Yuantao Zheng</x:v>
      </x:c>
      <x:c r="L447" s="16" t="str">
        <x:v>https://db.worldbridge.org/Repository/tourn/hefei.26/microsite/Asp/TotalPairs.asp?qtournid=2665&amp;qgroupno=1&amp;qroundno=3</x:v>
      </x:c>
    </x:row>
    <x:row r="448">
      <x:c r="A448" s="35" t="str">
        <x:v>WBF-094</x:v>
      </x:c>
      <x:c r="B448" s="35" t="str">
        <x:v>Yuantao Zheng</x:v>
      </x:c>
      <x:c r="C448" s="35" t="str"/>
      <x:c r="D448" s="35" t="str">
        <x:v>未核实中文写法（最佳猜测及依据见专表）</x:v>
      </x:c>
      <x:c r="E448" s="35" t="str">
        <x:v>2026-08-03—2026-08-08</x:v>
      </x:c>
      <x:c r="F448" s="35" t="str">
        <x:v>合肥，中国</x:v>
      </x:c>
      <x:c r="G448" s="35" t="str">
        <x:v>第9届世界青年跨国锦标赛</x:v>
      </x:c>
      <x:c r="H448" s="35" t="str">
        <x:v>U26 Pairs</x:v>
      </x:c>
      <x:c r="I448" s="35" t="n">
        <x:v>2</x:v>
      </x:c>
      <x:c r="J448" s="35" t="str">
        <x:v>银牌</x:v>
      </x:c>
      <x:c r="K448" s="35" t="str">
        <x:v>Chongshang Huang – Yuantao Zheng</x:v>
      </x:c>
      <x:c r="L448" s="35" t="str">
        <x:v>https://db.worldbridge.org/Repository/tourn/hefei.26/microsite/Asp/TotalPairs.asp?qtournid=2665&amp;qgroupno=1&amp;qroundno=3</x:v>
      </x:c>
    </x:row>
    <x:row r="449">
      <x:c r="A449" s="16" t="str">
        <x:v>WBF-095</x:v>
      </x:c>
      <x:c r="B449" s="16" t="str">
        <x:v>Baozhuo Jiang</x:v>
      </x:c>
      <x:c r="C449" s="16" t="str"/>
      <x:c r="D449" s="16" t="str">
        <x:v>未核实中文写法（最佳猜测及依据见专表）</x:v>
      </x:c>
      <x:c r="E449" s="16" t="str">
        <x:v>2026-08-03—2026-08-08</x:v>
      </x:c>
      <x:c r="F449" s="16" t="str">
        <x:v>合肥，中国</x:v>
      </x:c>
      <x:c r="G449" s="16" t="str">
        <x:v>第9届世界青年跨国锦标赛</x:v>
      </x:c>
      <x:c r="H449" s="16" t="str">
        <x:v>U26 Teams</x:v>
      </x:c>
      <x:c r="I449" s="16" t="n">
        <x:v>2</x:v>
      </x:c>
      <x:c r="J449" s="16" t="str">
        <x:v>银牌</x:v>
      </x:c>
      <x:c r="K449" s="16" t="str">
        <x:v>REIGNWOOD JUNIORS</x:v>
      </x:c>
      <x:c r="L449" s="16" t="str">
        <x:v>https://db.worldbridge.org/Repository/tourn/hefei.26/microsite/results.htm</x:v>
      </x:c>
    </x:row>
    <x:row r="450">
      <x:c r="A450" s="35" t="str">
        <x:v>WBF-095</x:v>
      </x:c>
      <x:c r="B450" s="35" t="str">
        <x:v>Hanxi Ma</x:v>
      </x:c>
      <x:c r="C450" s="35" t="str"/>
      <x:c r="D450" s="35" t="str">
        <x:v>未核实中文写法（最佳猜测及依据见专表）</x:v>
      </x:c>
      <x:c r="E450" s="35" t="str">
        <x:v>2026-08-03—2026-08-08</x:v>
      </x:c>
      <x:c r="F450" s="35" t="str">
        <x:v>合肥，中国</x:v>
      </x:c>
      <x:c r="G450" s="35" t="str">
        <x:v>第9届世界青年跨国锦标赛</x:v>
      </x:c>
      <x:c r="H450" s="35" t="str">
        <x:v>U26 Teams</x:v>
      </x:c>
      <x:c r="I450" s="35" t="n">
        <x:v>2</x:v>
      </x:c>
      <x:c r="J450" s="35" t="str">
        <x:v>银牌</x:v>
      </x:c>
      <x:c r="K450" s="35" t="str">
        <x:v>REIGNWOOD JUNIORS</x:v>
      </x:c>
      <x:c r="L450" s="35" t="str">
        <x:v>https://db.worldbridge.org/Repository/tourn/hefei.26/microsite/results.htm</x:v>
      </x:c>
    </x:row>
    <x:row r="451">
      <x:c r="A451" s="16" t="str">
        <x:v>WBF-095</x:v>
      </x:c>
      <x:c r="B451" s="16" t="str">
        <x:v>Ziao Wang</x:v>
      </x:c>
      <x:c r="C451" s="16" t="str"/>
      <x:c r="D451" s="16" t="str">
        <x:v>未核实中文写法（最佳猜测及依据见专表）</x:v>
      </x:c>
      <x:c r="E451" s="16" t="str">
        <x:v>2026-08-03—2026-08-08</x:v>
      </x:c>
      <x:c r="F451" s="16" t="str">
        <x:v>合肥，中国</x:v>
      </x:c>
      <x:c r="G451" s="16" t="str">
        <x:v>第9届世界青年跨国锦标赛</x:v>
      </x:c>
      <x:c r="H451" s="16" t="str">
        <x:v>U26 Teams</x:v>
      </x:c>
      <x:c r="I451" s="16" t="n">
        <x:v>2</x:v>
      </x:c>
      <x:c r="J451" s="16" t="str">
        <x:v>银牌</x:v>
      </x:c>
      <x:c r="K451" s="16" t="str">
        <x:v>REIGNWOOD JUNIORS</x:v>
      </x:c>
      <x:c r="L451" s="16" t="str">
        <x:v>https://db.worldbridge.org/Repository/tourn/hefei.26/microsite/results.htm</x:v>
      </x:c>
    </x:row>
    <x:row r="452">
      <x:c r="A452" s="35" t="str">
        <x:v>WBF-096</x:v>
      </x:c>
      <x:c r="B452" s="35" t="str">
        <x:v>Wenjing Chen</x:v>
      </x:c>
      <x:c r="C452" s="35" t="str"/>
      <x:c r="D452" s="35" t="str">
        <x:v>未核实中文写法（最佳猜测及依据见专表）</x:v>
      </x:c>
      <x:c r="E452" s="35" t="str">
        <x:v>2026-08-03—2026-08-08</x:v>
      </x:c>
      <x:c r="F452" s="35" t="str">
        <x:v>合肥，中国</x:v>
      </x:c>
      <x:c r="G452" s="35" t="str">
        <x:v>第9届世界青年跨国锦标赛</x:v>
      </x:c>
      <x:c r="H452" s="35" t="str">
        <x:v>U26 Women Pairs</x:v>
      </x:c>
      <x:c r="I452" s="35" t="n">
        <x:v>1</x:v>
      </x:c>
      <x:c r="J452" s="35" t="str">
        <x:v>金牌</x:v>
      </x:c>
      <x:c r="K452" s="35" t="str">
        <x:v>Wenjing Chen – Wanyi Lian</x:v>
      </x:c>
      <x:c r="L452" s="35" t="str">
        <x:v>https://db.worldbridge.org/Repository/tourn/hefei.26/microsite/Asp/TotalPairs.asp?qtournid=2667&amp;qgroupno=1&amp;qroundno=3</x:v>
      </x:c>
    </x:row>
    <x:row r="453">
      <x:c r="A453" s="16" t="str">
        <x:v>WBF-096</x:v>
      </x:c>
      <x:c r="B453" s="16" t="str">
        <x:v>Wanyi Lian</x:v>
      </x:c>
      <x:c r="C453" s="16" t="str"/>
      <x:c r="D453" s="16" t="str">
        <x:v>未核实中文写法（最佳猜测及依据见专表）</x:v>
      </x:c>
      <x:c r="E453" s="16" t="str">
        <x:v>2026-08-03—2026-08-08</x:v>
      </x:c>
      <x:c r="F453" s="16" t="str">
        <x:v>合肥，中国</x:v>
      </x:c>
      <x:c r="G453" s="16" t="str">
        <x:v>第9届世界青年跨国锦标赛</x:v>
      </x:c>
      <x:c r="H453" s="16" t="str">
        <x:v>U26 Women Pairs</x:v>
      </x:c>
      <x:c r="I453" s="16" t="n">
        <x:v>1</x:v>
      </x:c>
      <x:c r="J453" s="16" t="str">
        <x:v>金牌</x:v>
      </x:c>
      <x:c r="K453" s="16" t="str">
        <x:v>Wenjing Chen – Wanyi Lian</x:v>
      </x:c>
      <x:c r="L453" s="16" t="str">
        <x:v>https://db.worldbridge.org/Repository/tourn/hefei.26/microsite/Asp/TotalPairs.asp?qtournid=2667&amp;qgroupno=1&amp;qroundno=3</x:v>
      </x:c>
    </x:row>
    <x:row r="454">
      <x:c r="A454" s="35" t="str">
        <x:v>WBF-097</x:v>
      </x:c>
      <x:c r="B454" s="35" t="str">
        <x:v>Luxi Gong</x:v>
      </x:c>
      <x:c r="C454" s="35" t="str"/>
      <x:c r="D454" s="35" t="str">
        <x:v>未核实中文写法（最佳猜测及依据见专表）</x:v>
      </x:c>
      <x:c r="E454" s="35" t="str">
        <x:v>2026-08-03—2026-08-08</x:v>
      </x:c>
      <x:c r="F454" s="35" t="str">
        <x:v>合肥，中国</x:v>
      </x:c>
      <x:c r="G454" s="35" t="str">
        <x:v>第9届世界青年跨国锦标赛</x:v>
      </x:c>
      <x:c r="H454" s="35" t="str">
        <x:v>U26 Women Pairs</x:v>
      </x:c>
      <x:c r="I454" s="35" t="n">
        <x:v>2</x:v>
      </x:c>
      <x:c r="J454" s="35" t="str">
        <x:v>银牌</x:v>
      </x:c>
      <x:c r="K454" s="35" t="str">
        <x:v>Luxi Gong – Wanying Guo</x:v>
      </x:c>
      <x:c r="L454" s="35" t="str">
        <x:v>https://db.worldbridge.org/Repository/tourn/hefei.26/microsite/Asp/TotalPairs.asp?qtournid=2667&amp;qgroupno=1&amp;qroundno=3</x:v>
      </x:c>
    </x:row>
    <x:row r="455">
      <x:c r="A455" s="16" t="str">
        <x:v>WBF-097</x:v>
      </x:c>
      <x:c r="B455" s="16" t="str">
        <x:v>Wanying Guo</x:v>
      </x:c>
      <x:c r="C455" s="16" t="str"/>
      <x:c r="D455" s="16" t="str">
        <x:v>未核实中文写法（最佳猜测及依据见专表）</x:v>
      </x:c>
      <x:c r="E455" s="16" t="str">
        <x:v>2026-08-03—2026-08-08</x:v>
      </x:c>
      <x:c r="F455" s="16" t="str">
        <x:v>合肥，中国</x:v>
      </x:c>
      <x:c r="G455" s="16" t="str">
        <x:v>第9届世界青年跨国锦标赛</x:v>
      </x:c>
      <x:c r="H455" s="16" t="str">
        <x:v>U26 Women Pairs</x:v>
      </x:c>
      <x:c r="I455" s="16" t="n">
        <x:v>2</x:v>
      </x:c>
      <x:c r="J455" s="16" t="str">
        <x:v>银牌</x:v>
      </x:c>
      <x:c r="K455" s="16" t="str">
        <x:v>Luxi Gong – Wanying Guo</x:v>
      </x:c>
      <x:c r="L455" s="16" t="str">
        <x:v>https://db.worldbridge.org/Repository/tourn/hefei.26/microsite/Asp/TotalPairs.asp?qtournid=2667&amp;qgroupno=1&amp;qroundno=3</x:v>
      </x:c>
    </x:row>
    <x:row r="456">
      <x:c r="A456" s="35" t="str">
        <x:v>WBF-098</x:v>
      </x:c>
      <x:c r="B456" s="35" t="str">
        <x:v>Tianxin Chi</x:v>
      </x:c>
      <x:c r="C456" s="35" t="str"/>
      <x:c r="D456" s="35" t="str">
        <x:v>未核实中文写法（最佳猜测及依据见专表）</x:v>
      </x:c>
      <x:c r="E456" s="35" t="str">
        <x:v>2026-08-03—2026-08-08</x:v>
      </x:c>
      <x:c r="F456" s="35" t="str">
        <x:v>合肥，中国</x:v>
      </x:c>
      <x:c r="G456" s="35" t="str">
        <x:v>第9届世界青年跨国锦标赛</x:v>
      </x:c>
      <x:c r="H456" s="35" t="str">
        <x:v>U26 Women Teams</x:v>
      </x:c>
      <x:c r="I456" s="35" t="n">
        <x:v>3</x:v>
      </x:c>
      <x:c r="J456" s="35" t="str">
        <x:v>铜牌</x:v>
      </x:c>
      <x:c r="K456" s="35" t="str">
        <x:v>SHANDONG YANTAI</x:v>
      </x:c>
      <x:c r="L456" s="35" t="str">
        <x:v>https://db.worldbridge.org/Repository/tourn/hefei.26/microsite/results.htm</x:v>
      </x:c>
    </x:row>
    <x:row r="457">
      <x:c r="A457" s="16" t="str">
        <x:v>WBF-098</x:v>
      </x:c>
      <x:c r="B457" s="16" t="str">
        <x:v>Can Ge</x:v>
      </x:c>
      <x:c r="C457" s="16" t="str"/>
      <x:c r="D457" s="16" t="str">
        <x:v>未核实中文写法（最佳猜测及依据见专表）</x:v>
      </x:c>
      <x:c r="E457" s="16" t="str">
        <x:v>2026-08-03—2026-08-08</x:v>
      </x:c>
      <x:c r="F457" s="16" t="str">
        <x:v>合肥，中国</x:v>
      </x:c>
      <x:c r="G457" s="16" t="str">
        <x:v>第9届世界青年跨国锦标赛</x:v>
      </x:c>
      <x:c r="H457" s="16" t="str">
        <x:v>U26 Women Teams</x:v>
      </x:c>
      <x:c r="I457" s="16" t="n">
        <x:v>3</x:v>
      </x:c>
      <x:c r="J457" s="16" t="str">
        <x:v>铜牌</x:v>
      </x:c>
      <x:c r="K457" s="16" t="str">
        <x:v>SHANDONG YANTAI</x:v>
      </x:c>
      <x:c r="L457" s="16" t="str">
        <x:v>https://db.worldbridge.org/Repository/tourn/hefei.26/microsite/results.htm</x:v>
      </x:c>
    </x:row>
    <x:row r="458">
      <x:c r="A458" s="35" t="str">
        <x:v>WBF-098</x:v>
      </x:c>
      <x:c r="B458" s="35" t="str">
        <x:v>Ruohan Liu</x:v>
      </x:c>
      <x:c r="C458" s="35" t="str"/>
      <x:c r="D458" s="35" t="str">
        <x:v>未核实中文写法（最佳猜测及依据见专表）</x:v>
      </x:c>
      <x:c r="E458" s="35" t="str">
        <x:v>2026-08-03—2026-08-08</x:v>
      </x:c>
      <x:c r="F458" s="35" t="str">
        <x:v>合肥，中国</x:v>
      </x:c>
      <x:c r="G458" s="35" t="str">
        <x:v>第9届世界青年跨国锦标赛</x:v>
      </x:c>
      <x:c r="H458" s="35" t="str">
        <x:v>U26 Women Teams</x:v>
      </x:c>
      <x:c r="I458" s="35" t="n">
        <x:v>3</x:v>
      </x:c>
      <x:c r="J458" s="35" t="str">
        <x:v>铜牌</x:v>
      </x:c>
      <x:c r="K458" s="35" t="str">
        <x:v>SHANDONG YANTAI</x:v>
      </x:c>
      <x:c r="L458" s="35" t="str">
        <x:v>https://db.worldbridge.org/Repository/tourn/hefei.26/microsite/results.htm</x:v>
      </x:c>
    </x:row>
    <x:row r="459">
      <x:c r="A459" s="16" t="str">
        <x:v>WBF-098</x:v>
      </x:c>
      <x:c r="B459" s="16" t="str">
        <x:v>Yixuan Liu</x:v>
      </x:c>
      <x:c r="C459" s="16" t="str"/>
      <x:c r="D459" s="16" t="str">
        <x:v>未核实中文写法（最佳猜测及依据见专表）</x:v>
      </x:c>
      <x:c r="E459" s="16" t="str">
        <x:v>2026-08-03—2026-08-08</x:v>
      </x:c>
      <x:c r="F459" s="16" t="str">
        <x:v>合肥，中国</x:v>
      </x:c>
      <x:c r="G459" s="16" t="str">
        <x:v>第9届世界青年跨国锦标赛</x:v>
      </x:c>
      <x:c r="H459" s="16" t="str">
        <x:v>U26 Women Teams</x:v>
      </x:c>
      <x:c r="I459" s="16" t="n">
        <x:v>3</x:v>
      </x:c>
      <x:c r="J459" s="16" t="str">
        <x:v>铜牌</x:v>
      </x:c>
      <x:c r="K459" s="16" t="str">
        <x:v>SHANDONG YANTAI</x:v>
      </x:c>
      <x:c r="L459" s="16" t="str">
        <x:v>https://db.worldbridge.org/Repository/tourn/hefei.26/microsite/results.htm</x:v>
      </x:c>
    </x:row>
    <x:row r="460">
      <x:c r="A460" s="35" t="str">
        <x:v>WBF-098</x:v>
      </x:c>
      <x:c r="B460" s="35" t="str">
        <x:v>Ruo Fei Ma</x:v>
      </x:c>
      <x:c r="C460" s="35" t="str"/>
      <x:c r="D460" s="35" t="str">
        <x:v>未核实中文写法（最佳猜测及依据见专表）</x:v>
      </x:c>
      <x:c r="E460" s="35" t="str">
        <x:v>2026-08-03—2026-08-08</x:v>
      </x:c>
      <x:c r="F460" s="35" t="str">
        <x:v>合肥，中国</x:v>
      </x:c>
      <x:c r="G460" s="35" t="str">
        <x:v>第9届世界青年跨国锦标赛</x:v>
      </x:c>
      <x:c r="H460" s="35" t="str">
        <x:v>U26 Women Teams</x:v>
      </x:c>
      <x:c r="I460" s="35" t="n">
        <x:v>3</x:v>
      </x:c>
      <x:c r="J460" s="35" t="str">
        <x:v>铜牌</x:v>
      </x:c>
      <x:c r="K460" s="35" t="str">
        <x:v>SHANDONG YANTAI</x:v>
      </x:c>
      <x:c r="L460" s="35" t="str">
        <x:v>https://db.worldbridge.org/Repository/tourn/hefei.26/microsite/results.htm</x:v>
      </x:c>
    </x:row>
    <x:row r="461">
      <x:c r="A461" s="16" t="str">
        <x:v>WBF-098</x:v>
      </x:c>
      <x:c r="B461" s="16" t="str">
        <x:v>Xihan Zhang</x:v>
      </x:c>
      <x:c r="C461" s="16" t="str"/>
      <x:c r="D461" s="16" t="str">
        <x:v>未核实中文写法（最佳猜测及依据见专表）</x:v>
      </x:c>
      <x:c r="E461" s="16" t="str">
        <x:v>2026-08-03—2026-08-08</x:v>
      </x:c>
      <x:c r="F461" s="16" t="str">
        <x:v>合肥，中国</x:v>
      </x:c>
      <x:c r="G461" s="16" t="str">
        <x:v>第9届世界青年跨国锦标赛</x:v>
      </x:c>
      <x:c r="H461" s="16" t="str">
        <x:v>U26 Women Teams</x:v>
      </x:c>
      <x:c r="I461" s="16" t="n">
        <x:v>3</x:v>
      </x:c>
      <x:c r="J461" s="16" t="str">
        <x:v>铜牌</x:v>
      </x:c>
      <x:c r="K461" s="16" t="str">
        <x:v>SHANDONG YANTAI</x:v>
      </x:c>
      <x:c r="L461" s="16" t="str">
        <x:v>https://db.worldbridge.org/Repository/tourn/hefei.26/microsite/results.htm</x:v>
      </x:c>
    </x:row>
    <x:row r="462">
      <x:c r="A462" s="35" t="str">
        <x:v>WBF-099</x:v>
      </x:c>
      <x:c r="B462" s="35" t="str">
        <x:v>Jixiao Han</x:v>
      </x:c>
      <x:c r="C462" s="35" t="str"/>
      <x:c r="D462" s="35" t="str">
        <x:v>未核实中文写法（最佳猜测及依据见专表）</x:v>
      </x:c>
      <x:c r="E462" s="35" t="str">
        <x:v>2026-08-03—2026-08-08</x:v>
      </x:c>
      <x:c r="F462" s="35" t="str">
        <x:v>合肥，中国</x:v>
      </x:c>
      <x:c r="G462" s="35" t="str">
        <x:v>第9届世界青年跨国锦标赛</x:v>
      </x:c>
      <x:c r="H462" s="35" t="str">
        <x:v>U31 Pairs</x:v>
      </x:c>
      <x:c r="I462" s="35" t="n">
        <x:v>3</x:v>
      </x:c>
      <x:c r="J462" s="35" t="str">
        <x:v>铜牌</x:v>
      </x:c>
      <x:c r="K462" s="35" t="str">
        <x:v>Jixiao Han – Zian Wang</x:v>
      </x:c>
      <x:c r="L462" s="35" t="str">
        <x:v>https://db.worldbridge.org/Repository/tourn/hefei.26/microsite/Asp/TotalPairs.asp?qtournid=2669&amp;qgroupno=1&amp;qroundno=3</x:v>
      </x:c>
    </x:row>
    <x:row r="463">
      <x:c r="A463" s="16" t="str">
        <x:v>WBF-099</x:v>
      </x:c>
      <x:c r="B463" s="16" t="str">
        <x:v>Zian Wang</x:v>
      </x:c>
      <x:c r="C463" s="16" t="str"/>
      <x:c r="D463" s="16" t="str">
        <x:v>未核实中文写法（最佳猜测及依据见专表）</x:v>
      </x:c>
      <x:c r="E463" s="16" t="str">
        <x:v>2026-08-03—2026-08-08</x:v>
      </x:c>
      <x:c r="F463" s="16" t="str">
        <x:v>合肥，中国</x:v>
      </x:c>
      <x:c r="G463" s="16" t="str">
        <x:v>第9届世界青年跨国锦标赛</x:v>
      </x:c>
      <x:c r="H463" s="16" t="str">
        <x:v>U31 Pairs</x:v>
      </x:c>
      <x:c r="I463" s="16" t="n">
        <x:v>3</x:v>
      </x:c>
      <x:c r="J463" s="16" t="str">
        <x:v>铜牌</x:v>
      </x:c>
      <x:c r="K463" s="16" t="str">
        <x:v>Jixiao Han – Zian Wang</x:v>
      </x:c>
      <x:c r="L463" s="16" t="str">
        <x:v>https://db.worldbridge.org/Repository/tourn/hefei.26/microsite/Asp/TotalPairs.asp?qtournid=2669&amp;qgroupno=1&amp;qroundno=3</x:v>
      </x:c>
    </x:row>
    <x:row r="464">
      <x:c r="A464" s="35" t="str">
        <x:v>WBF-100</x:v>
      </x:c>
      <x:c r="B464" s="35" t="str">
        <x:v>Xuanting He</x:v>
      </x:c>
      <x:c r="C464" s="35" t="str"/>
      <x:c r="D464" s="35" t="str">
        <x:v>未核实中文写法（最佳猜测及依据见专表）</x:v>
      </x:c>
      <x:c r="E464" s="35" t="str">
        <x:v>2026-08-03—2026-08-08</x:v>
      </x:c>
      <x:c r="F464" s="35" t="str">
        <x:v>合肥，中国</x:v>
      </x:c>
      <x:c r="G464" s="35" t="str">
        <x:v>第9届世界青年跨国锦标赛</x:v>
      </x:c>
      <x:c r="H464" s="35" t="str">
        <x:v>U31 Teams</x:v>
      </x:c>
      <x:c r="I464" s="35" t="n">
        <x:v>1</x:v>
      </x:c>
      <x:c r="J464" s="35" t="str">
        <x:v>金牌</x:v>
      </x:c>
      <x:c r="K464" s="35" t="str">
        <x:v>AGOOFANS</x:v>
      </x:c>
      <x:c r="L464" s="35" t="str">
        <x:v>https://db.worldbridge.org/Repository/tourn/hefei.26/microsite/results.htm</x:v>
      </x:c>
    </x:row>
    <x:row r="465">
      <x:c r="A465" s="16" t="str">
        <x:v>WBF-100</x:v>
      </x:c>
      <x:c r="B465" s="16" t="str">
        <x:v>Ziyu Li</x:v>
      </x:c>
      <x:c r="C465" s="16" t="str"/>
      <x:c r="D465" s="16" t="str">
        <x:v>未核实中文写法（最佳猜测及依据见专表）</x:v>
      </x:c>
      <x:c r="E465" s="16" t="str">
        <x:v>2026-08-03—2026-08-08</x:v>
      </x:c>
      <x:c r="F465" s="16" t="str">
        <x:v>合肥，中国</x:v>
      </x:c>
      <x:c r="G465" s="16" t="str">
        <x:v>第9届世界青年跨国锦标赛</x:v>
      </x:c>
      <x:c r="H465" s="16" t="str">
        <x:v>U31 Teams</x:v>
      </x:c>
      <x:c r="I465" s="16" t="n">
        <x:v>1</x:v>
      </x:c>
      <x:c r="J465" s="16" t="str">
        <x:v>金牌</x:v>
      </x:c>
      <x:c r="K465" s="16" t="str">
        <x:v>AGOOFANS</x:v>
      </x:c>
      <x:c r="L465" s="16" t="str">
        <x:v>https://db.worldbridge.org/Repository/tourn/hefei.26/microsite/results.htm</x:v>
      </x:c>
    </x:row>
    <x:row r="466">
      <x:c r="A466" s="35" t="str">
        <x:v>WBF-100</x:v>
      </x:c>
      <x:c r="B466" s="35" t="str">
        <x:v>Yufan Liao</x:v>
      </x:c>
      <x:c r="C466" s="35" t="str"/>
      <x:c r="D466" s="35" t="str">
        <x:v>未核实中文写法（最佳猜测及依据见专表）</x:v>
      </x:c>
      <x:c r="E466" s="35" t="str">
        <x:v>2026-08-03—2026-08-08</x:v>
      </x:c>
      <x:c r="F466" s="35" t="str">
        <x:v>合肥，中国</x:v>
      </x:c>
      <x:c r="G466" s="35" t="str">
        <x:v>第9届世界青年跨国锦标赛</x:v>
      </x:c>
      <x:c r="H466" s="35" t="str">
        <x:v>U31 Teams</x:v>
      </x:c>
      <x:c r="I466" s="35" t="n">
        <x:v>1</x:v>
      </x:c>
      <x:c r="J466" s="35" t="str">
        <x:v>金牌</x:v>
      </x:c>
      <x:c r="K466" s="35" t="str">
        <x:v>AGOOFANS</x:v>
      </x:c>
      <x:c r="L466" s="35" t="str">
        <x:v>https://db.worldbridge.org/Repository/tourn/hefei.26/microsite/results.htm</x:v>
      </x:c>
    </x:row>
    <x:row r="467">
      <x:c r="A467" s="16" t="str">
        <x:v>WBF-100</x:v>
      </x:c>
      <x:c r="B467" s="16" t="str">
        <x:v>Pengqiao Qu</x:v>
      </x:c>
      <x:c r="C467" s="16" t="str"/>
      <x:c r="D467" s="16" t="str">
        <x:v>未核实中文写法（最佳猜测及依据见专表）</x:v>
      </x:c>
      <x:c r="E467" s="16" t="str">
        <x:v>2026-08-03—2026-08-08</x:v>
      </x:c>
      <x:c r="F467" s="16" t="str">
        <x:v>合肥，中国</x:v>
      </x:c>
      <x:c r="G467" s="16" t="str">
        <x:v>第9届世界青年跨国锦标赛</x:v>
      </x:c>
      <x:c r="H467" s="16" t="str">
        <x:v>U31 Teams</x:v>
      </x:c>
      <x:c r="I467" s="16" t="n">
        <x:v>1</x:v>
      </x:c>
      <x:c r="J467" s="16" t="str">
        <x:v>金牌</x:v>
      </x:c>
      <x:c r="K467" s="16" t="str">
        <x:v>AGOOFANS</x:v>
      </x:c>
      <x:c r="L467" s="16" t="str">
        <x:v>https://db.worldbridge.org/Repository/tourn/hefei.26/microsite/results.htm</x:v>
      </x:c>
    </x:row>
    <x:row r="468">
      <x:c r="A468" s="35" t="str">
        <x:v>WBF-100</x:v>
      </x:c>
      <x:c r="B468" s="35" t="str">
        <x:v>Wei Wang</x:v>
      </x:c>
      <x:c r="C468" s="35" t="str"/>
      <x:c r="D468" s="35" t="str">
        <x:v>未核实中文写法（最佳猜测及依据见专表）</x:v>
      </x:c>
      <x:c r="E468" s="35" t="str">
        <x:v>2026-08-03—2026-08-08</x:v>
      </x:c>
      <x:c r="F468" s="35" t="str">
        <x:v>合肥，中国</x:v>
      </x:c>
      <x:c r="G468" s="35" t="str">
        <x:v>第9届世界青年跨国锦标赛</x:v>
      </x:c>
      <x:c r="H468" s="35" t="str">
        <x:v>U31 Teams</x:v>
      </x:c>
      <x:c r="I468" s="35" t="n">
        <x:v>1</x:v>
      </x:c>
      <x:c r="J468" s="35" t="str">
        <x:v>金牌</x:v>
      </x:c>
      <x:c r="K468" s="35" t="str">
        <x:v>AGOOFANS</x:v>
      </x:c>
      <x:c r="L468" s="35" t="str">
        <x:v>https://db.worldbridge.org/Repository/tourn/hefei.26/microsite/results.htm</x:v>
      </x:c>
    </x:row>
    <x:row r="469">
      <x:c r="A469" s="16" t="str">
        <x:v>WBF-100</x:v>
      </x:c>
      <x:c r="B469" s="16" t="str">
        <x:v>Enzong Wu</x:v>
      </x:c>
      <x:c r="C469" s="16" t="str"/>
      <x:c r="D469" s="16" t="str">
        <x:v>未核实中文写法（最佳猜测及依据见专表）</x:v>
      </x:c>
      <x:c r="E469" s="16" t="str">
        <x:v>2026-08-03—2026-08-08</x:v>
      </x:c>
      <x:c r="F469" s="16" t="str">
        <x:v>合肥，中国</x:v>
      </x:c>
      <x:c r="G469" s="16" t="str">
        <x:v>第9届世界青年跨国锦标赛</x:v>
      </x:c>
      <x:c r="H469" s="16" t="str">
        <x:v>U31 Teams</x:v>
      </x:c>
      <x:c r="I469" s="16" t="n">
        <x:v>1</x:v>
      </x:c>
      <x:c r="J469" s="16" t="str">
        <x:v>金牌</x:v>
      </x:c>
      <x:c r="K469" s="16" t="str">
        <x:v>AGOOFANS</x:v>
      </x:c>
      <x:c r="L469" s="16" t="str">
        <x:v>https://db.worldbridge.org/Repository/tourn/hefei.26/microsite/results.htm</x:v>
      </x:c>
    </x:row>
    <x:row r="470">
      <x:c r="A470" s="35" t="str">
        <x:v>WBF-101</x:v>
      </x:c>
      <x:c r="B470" s="35" t="str">
        <x:v>Jiawen Gu</x:v>
      </x:c>
      <x:c r="C470" s="35" t="str"/>
      <x:c r="D470" s="35" t="str">
        <x:v>未核实中文写法（最佳猜测及依据见专表）</x:v>
      </x:c>
      <x:c r="E470" s="35" t="str">
        <x:v>2026-08-03—2026-08-08</x:v>
      </x:c>
      <x:c r="F470" s="35" t="str">
        <x:v>合肥，中国</x:v>
      </x:c>
      <x:c r="G470" s="35" t="str">
        <x:v>第9届世界青年跨国锦标赛</x:v>
      </x:c>
      <x:c r="H470" s="35" t="str">
        <x:v>U31 Teams</x:v>
      </x:c>
      <x:c r="I470" s="35" t="n">
        <x:v>2</x:v>
      </x:c>
      <x:c r="J470" s="35" t="str">
        <x:v>银牌</x:v>
      </x:c>
      <x:c r="K470" s="35" t="str">
        <x:v>CHINA U31</x:v>
      </x:c>
      <x:c r="L470" s="35" t="str">
        <x:v>https://db.worldbridge.org/Repository/tourn/hefei.26/microsite/results.htm</x:v>
      </x:c>
    </x:row>
    <x:row r="471">
      <x:c r="A471" s="16" t="str">
        <x:v>WBF-101</x:v>
      </x:c>
      <x:c r="B471" s="16" t="str">
        <x:v>Jixiao Han</x:v>
      </x:c>
      <x:c r="C471" s="16" t="str"/>
      <x:c r="D471" s="16" t="str">
        <x:v>未核实中文写法（最佳猜测及依据见专表）</x:v>
      </x:c>
      <x:c r="E471" s="16" t="str">
        <x:v>2026-08-03—2026-08-08</x:v>
      </x:c>
      <x:c r="F471" s="16" t="str">
        <x:v>合肥，中国</x:v>
      </x:c>
      <x:c r="G471" s="16" t="str">
        <x:v>第9届世界青年跨国锦标赛</x:v>
      </x:c>
      <x:c r="H471" s="16" t="str">
        <x:v>U31 Teams</x:v>
      </x:c>
      <x:c r="I471" s="16" t="n">
        <x:v>2</x:v>
      </x:c>
      <x:c r="J471" s="16" t="str">
        <x:v>银牌</x:v>
      </x:c>
      <x:c r="K471" s="16" t="str">
        <x:v>CHINA U31</x:v>
      </x:c>
      <x:c r="L471" s="16" t="str">
        <x:v>https://db.worldbridge.org/Repository/tourn/hefei.26/microsite/results.htm</x:v>
      </x:c>
    </x:row>
    <x:row r="472">
      <x:c r="A472" s="35" t="str">
        <x:v>WBF-101</x:v>
      </x:c>
      <x:c r="B472" s="35" t="str">
        <x:v>Haochen Liu</x:v>
      </x:c>
      <x:c r="C472" s="35" t="str"/>
      <x:c r="D472" s="35" t="str">
        <x:v>未核实中文写法（最佳猜测及依据见专表）</x:v>
      </x:c>
      <x:c r="E472" s="35" t="str">
        <x:v>2026-08-03—2026-08-08</x:v>
      </x:c>
      <x:c r="F472" s="35" t="str">
        <x:v>合肥，中国</x:v>
      </x:c>
      <x:c r="G472" s="35" t="str">
        <x:v>第9届世界青年跨国锦标赛</x:v>
      </x:c>
      <x:c r="H472" s="35" t="str">
        <x:v>U31 Teams</x:v>
      </x:c>
      <x:c r="I472" s="35" t="n">
        <x:v>2</x:v>
      </x:c>
      <x:c r="J472" s="35" t="str">
        <x:v>银牌</x:v>
      </x:c>
      <x:c r="K472" s="35" t="str">
        <x:v>CHINA U31</x:v>
      </x:c>
      <x:c r="L472" s="35" t="str">
        <x:v>https://db.worldbridge.org/Repository/tourn/hefei.26/microsite/results.htm</x:v>
      </x:c>
    </x:row>
    <x:row r="473">
      <x:c r="A473" s="16" t="str">
        <x:v>WBF-101</x:v>
      </x:c>
      <x:c r="B473" s="16" t="str">
        <x:v>Zian Wang</x:v>
      </x:c>
      <x:c r="C473" s="16" t="str"/>
      <x:c r="D473" s="16" t="str">
        <x:v>未核实中文写法（最佳猜测及依据见专表）</x:v>
      </x:c>
      <x:c r="E473" s="16" t="str">
        <x:v>2026-08-03—2026-08-08</x:v>
      </x:c>
      <x:c r="F473" s="16" t="str">
        <x:v>合肥，中国</x:v>
      </x:c>
      <x:c r="G473" s="16" t="str">
        <x:v>第9届世界青年跨国锦标赛</x:v>
      </x:c>
      <x:c r="H473" s="16" t="str">
        <x:v>U31 Teams</x:v>
      </x:c>
      <x:c r="I473" s="16" t="n">
        <x:v>2</x:v>
      </x:c>
      <x:c r="J473" s="16" t="str">
        <x:v>银牌</x:v>
      </x:c>
      <x:c r="K473" s="16" t="str">
        <x:v>CHINA U31</x:v>
      </x:c>
      <x:c r="L473" s="16" t="str">
        <x:v>https://db.worldbridge.org/Repository/tourn/hefei.26/microsite/results.htm</x:v>
      </x:c>
    </x:row>
    <x:row r="474">
      <x:c r="A474" s="35" t="str">
        <x:v>WBF-101</x:v>
      </x:c>
      <x:c r="B474" s="35" t="str">
        <x:v>Tianyao Yan</x:v>
      </x:c>
      <x:c r="C474" s="35" t="str"/>
      <x:c r="D474" s="35" t="str">
        <x:v>未核实中文写法（最佳猜测及依据见专表）</x:v>
      </x:c>
      <x:c r="E474" s="35" t="str">
        <x:v>2026-08-03—2026-08-08</x:v>
      </x:c>
      <x:c r="F474" s="35" t="str">
        <x:v>合肥，中国</x:v>
      </x:c>
      <x:c r="G474" s="35" t="str">
        <x:v>第9届世界青年跨国锦标赛</x:v>
      </x:c>
      <x:c r="H474" s="35" t="str">
        <x:v>U31 Teams</x:v>
      </x:c>
      <x:c r="I474" s="35" t="n">
        <x:v>2</x:v>
      </x:c>
      <x:c r="J474" s="35" t="str">
        <x:v>银牌</x:v>
      </x:c>
      <x:c r="K474" s="35" t="str">
        <x:v>CHINA U31</x:v>
      </x:c>
      <x:c r="L474" s="35" t="str">
        <x:v>https://db.worldbridge.org/Repository/tourn/hefei.26/microsite/results.htm</x:v>
      </x:c>
    </x:row>
    <x:row r="475">
      <x:c r="A475" s="16" t="str">
        <x:v>WBF-101</x:v>
      </x:c>
      <x:c r="B475" s="16" t="str">
        <x:v>Tianyu Zhang</x:v>
      </x:c>
      <x:c r="C475" s="16" t="str"/>
      <x:c r="D475" s="16" t="str">
        <x:v>未核实中文写法（最佳猜测及依据见专表）</x:v>
      </x:c>
      <x:c r="E475" s="16" t="str">
        <x:v>2026-08-03—2026-08-08</x:v>
      </x:c>
      <x:c r="F475" s="16" t="str">
        <x:v>合肥，中国</x:v>
      </x:c>
      <x:c r="G475" s="16" t="str">
        <x:v>第9届世界青年跨国锦标赛</x:v>
      </x:c>
      <x:c r="H475" s="16" t="str">
        <x:v>U31 Teams</x:v>
      </x:c>
      <x:c r="I475" s="16" t="n">
        <x:v>2</x:v>
      </x:c>
      <x:c r="J475" s="16" t="str">
        <x:v>银牌</x:v>
      </x:c>
      <x:c r="K475" s="16" t="str">
        <x:v>CHINA U31</x:v>
      </x:c>
      <x:c r="L475" s="16" t="str">
        <x:v>https://db.worldbridge.org/Repository/tourn/hefei.26/microsite/results.htm</x:v>
      </x:c>
    </x:row>
  </x:sheetData>
  <x:mergeCells>
    <x:mergeCell ref="A1:L1"/>
    <x:mergeCell ref="A2:L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52" hidden="0" customWidth="1"/>
    <x:col min="4" max="4" width="68" hidden="0" customWidth="1"/>
    <x:col min="5" max="5" width="13" hidden="0" customWidth="1"/>
  </x:cols>
  <x:sheetData>
    <x:row r="1" ht="30" customHeight="1">
      <x:c r="A1" s="39" t="str">
        <x:v>WBF英文名—已核实中文名对照</x:v>
      </x:c>
      <x:c r="B1" s="39"/>
      <x:c r="C1" s="39"/>
      <x:c r="D1" s="39"/>
      <x:c r="E1" s="39"/>
    </x:row>
    <x:row r="2" ht="42" customHeight="1">
      <x:c r="A2" s="31" t="str">
        <x:v>本页继续采用严格核实口径；推测姓名不写入本页，全部集中到“中文姓名推断依据”。</x:v>
      </x:c>
      <x:c r="B2" s="31"/>
      <x:c r="C2" s="31"/>
      <x:c r="D2" s="31"/>
      <x:c r="E2" s="31"/>
    </x:row>
    <x:row r="4">
      <x:c r="A4" s="46" t="str">
        <x:v>WBF英文姓名</x:v>
      </x:c>
      <x:c r="B4" s="46" t="str">
        <x:v>已核实中文姓名</x:v>
      </x:c>
      <x:c r="C4" s="46" t="str">
        <x:v>核对说明</x:v>
      </x:c>
      <x:c r="D4" s="46" t="str">
        <x:v>中文资料来源（仅用于姓名映射）</x:v>
      </x:c>
      <x:c r="E4" s="46" t="str">
        <x:v>入表获奖次数</x:v>
      </x:c>
    </x:row>
    <x:row r="5">
      <x:c r="A5" s="16" t="str">
        <x:v>Aijia Yuan</x:v>
      </x:c>
      <x:c r="B5" s="16"/>
      <x:c r="C5" s="16" t="str">
        <x:v>未从可靠公开中文资料核实；保留WBF英文登记名</x:v>
      </x:c>
      <x:c r="D5" s="16"/>
      <x:c r="E5" s="16" t="n">
        <x:v>1</x:v>
      </x:c>
    </x:row>
    <x:row r="6">
      <x:c r="A6" s="35" t="str">
        <x:v>Bangxiang Zhang</x:v>
      </x:c>
      <x:c r="B6" s="35"/>
      <x:c r="C6" s="35" t="str">
        <x:v>未从可靠公开中文资料核实；保留WBF英文登记名</x:v>
      </x:c>
      <x:c r="D6" s="35"/>
      <x:c r="E6" s="35" t="n">
        <x:v>1</x:v>
      </x:c>
    </x:row>
    <x:row r="7">
      <x:c r="A7" s="16" t="str">
        <x:v>Baozhuo Jiang</x:v>
      </x:c>
      <x:c r="B7" s="16"/>
      <x:c r="C7" s="16" t="str">
        <x:v>未从可靠公开中文资料核实；保留WBF英文登记名</x:v>
      </x:c>
      <x:c r="D7" s="16"/>
      <x:c r="E7" s="16" t="n">
        <x:v>6</x:v>
      </x:c>
    </x:row>
    <x:row r="8">
      <x:c r="A8" s="35" t="str">
        <x:v>Bing Du</x:v>
      </x:c>
      <x:c r="B8" s="35"/>
      <x:c r="C8" s="35" t="str">
        <x:v>未从可靠公开中文资料核实；保留WBF英文登记名</x:v>
      </x:c>
      <x:c r="D8" s="35"/>
      <x:c r="E8" s="35" t="n">
        <x:v>1</x:v>
      </x:c>
    </x:row>
    <x:row r="9">
      <x:c r="A9" s="16" t="str">
        <x:v>Bing Zhao</x:v>
      </x:c>
      <x:c r="B9" s="16"/>
      <x:c r="C9" s="16" t="str">
        <x:v>未从可靠公开中文资料核实；保留WBF英文登记名</x:v>
      </x:c>
      <x:c r="D9" s="16"/>
      <x:c r="E9" s="16" t="n">
        <x:v>1</x:v>
      </x:c>
    </x:row>
    <x:row r="10">
      <x:c r="A10" s="35" t="str">
        <x:v>Bo Fu</x:v>
      </x:c>
      <x:c r="B10" s="35" t="str">
        <x:v>傅博</x:v>
      </x:c>
      <x:c r="C10" s="35" t="str">
        <x:v>2024国家混合队报道</x:v>
      </x:c>
      <x:c r="D10" s="35" t="str">
        <x:v>https://www.prnasia.com/story/435035-1.shtml</x:v>
      </x:c>
      <x:c r="E10" s="35" t="n">
        <x:v>4</x:v>
      </x:c>
    </x:row>
    <x:row r="11">
      <x:c r="A11" s="16" t="str">
        <x:v>Boxin Zhang</x:v>
      </x:c>
      <x:c r="B11" s="16"/>
      <x:c r="C11" s="16" t="str">
        <x:v>未从可靠公开中文资料核实；保留WBF英文登记名</x:v>
      </x:c>
      <x:c r="D11" s="16"/>
      <x:c r="E11" s="16" t="n">
        <x:v>1</x:v>
      </x:c>
    </x:row>
    <x:row r="12">
      <x:c r="A12" s="35" t="str">
        <x:v>Can Ge</x:v>
      </x:c>
      <x:c r="B12" s="35"/>
      <x:c r="C12" s="35" t="str">
        <x:v>未从可靠公开中文资料核实；保留WBF英文登记名</x:v>
      </x:c>
      <x:c r="D12" s="35"/>
      <x:c r="E12" s="35" t="n">
        <x:v>1</x:v>
      </x:c>
    </x:row>
    <x:row r="13">
      <x:c r="A13" s="16" t="str">
        <x:v>Che Han</x:v>
      </x:c>
      <x:c r="B13" s="16"/>
      <x:c r="C13" s="16" t="str">
        <x:v>未从可靠公开中文资料核实；保留WBF英文登记名</x:v>
      </x:c>
      <x:c r="D13" s="16"/>
      <x:c r="E13" s="16" t="n">
        <x:v>2</x:v>
      </x:c>
    </x:row>
    <x:row r="14">
      <x:c r="A14" s="35" t="str">
        <x:v>Cheng Deng</x:v>
      </x:c>
      <x:c r="B14" s="35"/>
      <x:c r="C14" s="35" t="str">
        <x:v>未从可靠公开中文资料核实；保留WBF英文登记名</x:v>
      </x:c>
      <x:c r="D14" s="35"/>
      <x:c r="E14" s="35" t="n">
        <x:v>3</x:v>
      </x:c>
    </x:row>
    <x:row r="15">
      <x:c r="A15" s="16" t="str">
        <x:v>Cheng Lin</x:v>
      </x:c>
      <x:c r="B15" s="16"/>
      <x:c r="C15" s="16" t="str">
        <x:v>未从可靠公开中文资料核实；保留WBF英文登记名</x:v>
      </x:c>
      <x:c r="D15" s="16"/>
      <x:c r="E15" s="16" t="n">
        <x:v>1</x:v>
      </x:c>
    </x:row>
    <x:row r="16">
      <x:c r="A16" s="35" t="str">
        <x:v>Chengke Hu</x:v>
      </x:c>
      <x:c r="B16" s="35"/>
      <x:c r="C16" s="35" t="str">
        <x:v>未从可靠公开中文资料核实；保留WBF英文登记名</x:v>
      </x:c>
      <x:c r="D16" s="35"/>
      <x:c r="E16" s="35" t="n">
        <x:v>1</x:v>
      </x:c>
    </x:row>
    <x:row r="17">
      <x:c r="A17" s="16" t="str">
        <x:v>Chenyang Xiong</x:v>
      </x:c>
      <x:c r="B17" s="16"/>
      <x:c r="C17" s="16" t="str">
        <x:v>未从可靠公开中文资料核实；保留WBF英文登记名</x:v>
      </x:c>
      <x:c r="D17" s="16"/>
      <x:c r="E17" s="16" t="n">
        <x:v>1</x:v>
      </x:c>
    </x:row>
    <x:row r="18">
      <x:c r="A18" s="35" t="str">
        <x:v>Chenyun Ge</x:v>
      </x:c>
      <x:c r="B18" s="35"/>
      <x:c r="C18" s="35" t="str">
        <x:v>未从可靠公开中文资料核实；保留WBF英文登记名</x:v>
      </x:c>
      <x:c r="D18" s="35"/>
      <x:c r="E18" s="35" t="n">
        <x:v>4</x:v>
      </x:c>
    </x:row>
    <x:row r="19">
      <x:c r="A19" s="16" t="str">
        <x:v>Chongshang Huang</x:v>
      </x:c>
      <x:c r="B19" s="16"/>
      <x:c r="C19" s="16" t="str">
        <x:v>未从可靠公开中文资料核实；保留WBF英文登记名</x:v>
      </x:c>
      <x:c r="D19" s="16"/>
      <x:c r="E19" s="16" t="n">
        <x:v>1</x:v>
      </x:c>
    </x:row>
    <x:row r="20">
      <x:c r="A20" s="35" t="str">
        <x:v>Chuan Cheng Ju</x:v>
      </x:c>
      <x:c r="B20" s="35"/>
      <x:c r="C20" s="35" t="str">
        <x:v>未从可靠公开中文资料核实；保留WBF英文登记名</x:v>
      </x:c>
      <x:c r="D20" s="35"/>
      <x:c r="E20" s="35" t="n">
        <x:v>1</x:v>
      </x:c>
    </x:row>
    <x:row r="21">
      <x:c r="A21" s="16" t="str">
        <x:v>Chujia Pan</x:v>
      </x:c>
      <x:c r="B21" s="16"/>
      <x:c r="C21" s="16" t="str">
        <x:v>未从可靠公开中文资料核实；保留WBF英文登记名</x:v>
      </x:c>
      <x:c r="D21" s="16"/>
      <x:c r="E21" s="16" t="n">
        <x:v>1</x:v>
      </x:c>
    </x:row>
    <x:row r="22">
      <x:c r="A22" s="35" t="str">
        <x:v>Chunhui Dong</x:v>
      </x:c>
      <x:c r="B22" s="35"/>
      <x:c r="C22" s="35" t="str">
        <x:v>未从可靠公开中文资料核实；保留WBF英文登记名</x:v>
      </x:c>
      <x:c r="D22" s="35"/>
      <x:c r="E22" s="35" t="n">
        <x:v>1</x:v>
      </x:c>
    </x:row>
    <x:row r="23">
      <x:c r="A23" s="16" t="str">
        <x:v>Di Wang</x:v>
      </x:c>
      <x:c r="B23" s="16"/>
      <x:c r="C23" s="16" t="str">
        <x:v>未从可靠公开中文资料核实；保留WBF英文登记名</x:v>
      </x:c>
      <x:c r="D23" s="16"/>
      <x:c r="E23" s="16" t="n">
        <x:v>1</x:v>
      </x:c>
    </x:row>
    <x:row r="24">
      <x:c r="A24" s="35" t="str">
        <x:v>Di Zhuo</x:v>
      </x:c>
      <x:c r="B24" s="35"/>
      <x:c r="C24" s="35" t="str">
        <x:v>未从可靠公开中文资料核实；保留WBF英文登记名</x:v>
      </x:c>
      <x:c r="D24" s="35"/>
      <x:c r="E24" s="35" t="n">
        <x:v>1</x:v>
      </x:c>
    </x:row>
    <x:row r="25">
      <x:c r="A25" s="16" t="str">
        <x:v>Dongke Fang</x:v>
      </x:c>
      <x:c r="B25" s="16"/>
      <x:c r="C25" s="16" t="str">
        <x:v>未从可靠公开中文资料核实；保留WBF英文登记名</x:v>
      </x:c>
      <x:c r="D25" s="16"/>
      <x:c r="E25" s="16" t="n">
        <x:v>2</x:v>
      </x:c>
    </x:row>
    <x:row r="26">
      <x:c r="A26" s="35" t="str">
        <x:v>Enzong Wu</x:v>
      </x:c>
      <x:c r="B26" s="35"/>
      <x:c r="C26" s="35" t="str">
        <x:v>未从可靠公开中文资料核实；保留WBF英文登记名</x:v>
      </x:c>
      <x:c r="D26" s="35"/>
      <x:c r="E26" s="35" t="n">
        <x:v>1</x:v>
      </x:c>
    </x:row>
    <x:row r="27">
      <x:c r="A27" s="16" t="str">
        <x:v>Fanfei Yu</x:v>
      </x:c>
      <x:c r="B27" s="16"/>
      <x:c r="C27" s="16" t="str">
        <x:v>未从可靠公开中文资料核实；保留WBF英文登记名</x:v>
      </x:c>
      <x:c r="D27" s="16"/>
      <x:c r="E27" s="16" t="n">
        <x:v>1</x:v>
      </x:c>
    </x:row>
    <x:row r="28">
      <x:c r="A28" s="35" t="str">
        <x:v>Fangchen Zhao</x:v>
      </x:c>
      <x:c r="B28" s="35"/>
      <x:c r="C28" s="35" t="str">
        <x:v>未从可靠公开中文资料核实；保留WBF英文登记名</x:v>
      </x:c>
      <x:c r="D28" s="35"/>
      <x:c r="E28" s="35" t="n">
        <x:v>1</x:v>
      </x:c>
    </x:row>
    <x:row r="29">
      <x:c r="A29" s="16" t="str">
        <x:v>Felicia Yu</x:v>
      </x:c>
      <x:c r="B29" s="16"/>
      <x:c r="C29" s="16" t="str">
        <x:v>未从可靠公开中文资料核实；保留WBF英文登记名</x:v>
      </x:c>
      <x:c r="D29" s="16"/>
      <x:c r="E29" s="16" t="n">
        <x:v>1</x:v>
      </x:c>
    </x:row>
    <x:row r="30">
      <x:c r="A30" s="35" t="str">
        <x:v>Guangli Wendy Liu</x:v>
      </x:c>
      <x:c r="B30" s="35"/>
      <x:c r="C30" s="35" t="str">
        <x:v>未从可靠公开中文资料核实；保留WBF英文登记名</x:v>
      </x:c>
      <x:c r="D30" s="35"/>
      <x:c r="E30" s="35" t="n">
        <x:v>1</x:v>
      </x:c>
    </x:row>
    <x:row r="31">
      <x:c r="A31" s="16" t="str">
        <x:v>Guofang Xin</x:v>
      </x:c>
      <x:c r="B31" s="16"/>
      <x:c r="C31" s="16" t="str">
        <x:v>未从可靠公开中文资料核实；保留WBF英文登记名</x:v>
      </x:c>
      <x:c r="D31" s="16"/>
      <x:c r="E31" s="16" t="n">
        <x:v>1</x:v>
      </x:c>
    </x:row>
    <x:row r="32">
      <x:c r="A32" s="35" t="str">
        <x:v>Hanting Wang</x:v>
      </x:c>
      <x:c r="B32" s="35"/>
      <x:c r="C32" s="35" t="str">
        <x:v>未从可靠公开中文资料核实；保留WBF英文登记名</x:v>
      </x:c>
      <x:c r="D32" s="35"/>
      <x:c r="E32" s="35" t="n">
        <x:v>1</x:v>
      </x:c>
    </x:row>
    <x:row r="33">
      <x:c r="A33" s="16" t="str">
        <x:v>Hanxi Ma</x:v>
      </x:c>
      <x:c r="B33" s="16"/>
      <x:c r="C33" s="16" t="str">
        <x:v>未从可靠公开中文资料核实；保留WBF英文登记名</x:v>
      </x:c>
      <x:c r="D33" s="16"/>
      <x:c r="E33" s="16" t="n">
        <x:v>2</x:v>
      </x:c>
    </x:row>
    <x:row r="34">
      <x:c r="A34" s="35" t="str">
        <x:v>Hanxiao Li</x:v>
      </x:c>
      <x:c r="B34" s="35"/>
      <x:c r="C34" s="35" t="str">
        <x:v>未从可靠公开中文资料核实；保留WBF英文登记名</x:v>
      </x:c>
      <x:c r="D34" s="35"/>
      <x:c r="E34" s="35" t="n">
        <x:v>1</x:v>
      </x:c>
    </x:row>
    <x:row r="35">
      <x:c r="A35" s="16" t="str">
        <x:v>Hanyang Dai</x:v>
      </x:c>
      <x:c r="B35" s="16"/>
      <x:c r="C35" s="16" t="str">
        <x:v>未从可靠公开中文资料核实；保留WBF英文登记名</x:v>
      </x:c>
      <x:c r="D35" s="16"/>
      <x:c r="E35" s="16" t="n">
        <x:v>2</x:v>
      </x:c>
    </x:row>
    <x:row r="36">
      <x:c r="A36" s="35" t="str">
        <x:v>Hao Xu</x:v>
      </x:c>
      <x:c r="B36" s="35"/>
      <x:c r="C36" s="35" t="str">
        <x:v>未从可靠公开中文资料核实；保留WBF英文登记名</x:v>
      </x:c>
      <x:c r="D36" s="35"/>
      <x:c r="E36" s="35" t="n">
        <x:v>3</x:v>
      </x:c>
    </x:row>
    <x:row r="37">
      <x:c r="A37" s="16" t="str">
        <x:v>Haochen Hu</x:v>
      </x:c>
      <x:c r="B37" s="16"/>
      <x:c r="C37" s="16" t="str">
        <x:v>未从可靠公开中文资料核实；保留WBF英文登记名</x:v>
      </x:c>
      <x:c r="D37" s="16"/>
      <x:c r="E37" s="16" t="n">
        <x:v>1</x:v>
      </x:c>
    </x:row>
    <x:row r="38">
      <x:c r="A38" s="35" t="str">
        <x:v>Haochen Liu</x:v>
      </x:c>
      <x:c r="B38" s="35"/>
      <x:c r="C38" s="35" t="str">
        <x:v>未从可靠公开中文资料核实；保留WBF英文登记名</x:v>
      </x:c>
      <x:c r="D38" s="35"/>
      <x:c r="E38" s="35" t="n">
        <x:v>3</x:v>
      </x:c>
    </x:row>
    <x:row r="39">
      <x:c r="A39" s="16" t="str">
        <x:v>Haojun Shi</x:v>
      </x:c>
      <x:c r="B39" s="16"/>
      <x:c r="C39" s="16" t="str">
        <x:v>未从可靠公开中文资料核实；保留WBF英文登记名</x:v>
      </x:c>
      <x:c r="D39" s="16"/>
      <x:c r="E39" s="16" t="n">
        <x:v>1</x:v>
      </x:c>
    </x:row>
    <x:row r="40">
      <x:c r="A40" s="35" t="str">
        <x:v>Haoqing Yu</x:v>
      </x:c>
      <x:c r="B40" s="35"/>
      <x:c r="C40" s="35" t="str">
        <x:v>未从可靠公开中文资料核实；保留WBF英文登记名</x:v>
      </x:c>
      <x:c r="D40" s="35"/>
      <x:c r="E40" s="35" t="n">
        <x:v>2</x:v>
      </x:c>
    </x:row>
    <x:row r="41">
      <x:c r="A41" s="16" t="str">
        <x:v>Haoran Wang</x:v>
      </x:c>
      <x:c r="B41" s="16" t="str"/>
      <x:c r="C41" s="16" t="str">
        <x:v>未从可靠公开中文资料核实；最佳猜测与歧义见“中文姓名推断依据”</x:v>
      </x:c>
      <x:c r="D41" s="16" t="str"/>
      <x:c r="E41" s="16" t="n">
        <x:v>1</x:v>
      </x:c>
    </x:row>
    <x:row r="42">
      <x:c r="A42" s="35" t="str">
        <x:v>Haotian Shen</x:v>
      </x:c>
      <x:c r="B42" s="35"/>
      <x:c r="C42" s="35" t="str">
        <x:v>未从可靠公开中文资料核实；保留WBF英文登记名</x:v>
      </x:c>
      <x:c r="D42" s="35"/>
      <x:c r="E42" s="35" t="n">
        <x:v>1</x:v>
      </x:c>
    </x:row>
    <x:row r="43">
      <x:c r="A43" s="16" t="str">
        <x:v>Haoxuan Yu</x:v>
      </x:c>
      <x:c r="B43" s="16" t="str"/>
      <x:c r="C43" s="16" t="str">
        <x:v>未从可靠公开中文资料核实；最佳猜测与歧义见“中文姓名推断依据”</x:v>
      </x:c>
      <x:c r="D43" s="16" t="str"/>
      <x:c r="E43" s="16" t="n">
        <x:v>1</x:v>
      </x:c>
    </x:row>
    <x:row r="44">
      <x:c r="A44" s="35" t="str">
        <x:v>Hongbin Su</x:v>
      </x:c>
      <x:c r="B44" s="35"/>
      <x:c r="C44" s="35" t="str">
        <x:v>未从可靠公开中文资料核实；保留WBF英文登记名</x:v>
      </x:c>
      <x:c r="D44" s="35"/>
      <x:c r="E44" s="35" t="n">
        <x:v>1</x:v>
      </x:c>
    </x:row>
    <x:row r="45">
      <x:c r="A45" s="16" t="str">
        <x:v>Hongji Wei</x:v>
      </x:c>
      <x:c r="B45" s="16"/>
      <x:c r="C45" s="16" t="str">
        <x:v>未从可靠公开中文资料核实；保留WBF英文登记名</x:v>
      </x:c>
      <x:c r="D45" s="16"/>
      <x:c r="E45" s="16" t="n">
        <x:v>4</x:v>
      </x:c>
    </x:row>
    <x:row r="46">
      <x:c r="A46" s="35" t="str">
        <x:v>Hongli Wang</x:v>
      </x:c>
      <x:c r="B46" s="35" t="str">
        <x:v>王宏利</x:v>
      </x:c>
      <x:c r="C46" s="35" t="str">
        <x:v>新闻资料一致</x:v>
      </x:c>
      <x:c r="D46" s="35" t="str">
        <x:v>https://sports.sina.cn/others/qipai/2020-07-08/detail-iirczymm1234663.d.html</x:v>
      </x:c>
      <x:c r="E46" s="35" t="n">
        <x:v>9</x:v>
      </x:c>
    </x:row>
    <x:row r="47">
      <x:c r="A47" s="16" t="str">
        <x:v>Huibo Jiang</x:v>
      </x:c>
      <x:c r="B47" s="16"/>
      <x:c r="C47" s="16" t="str">
        <x:v>未从可靠公开中文资料核实；保留WBF英文登记名</x:v>
      </x:c>
      <x:c r="D47" s="16"/>
      <x:c r="E47" s="16" t="n">
        <x:v>1</x:v>
      </x:c>
    </x:row>
    <x:row r="48">
      <x:c r="A48" s="35" t="str">
        <x:v>Huiyuan Jin</x:v>
      </x:c>
      <x:c r="B48" s="35"/>
      <x:c r="C48" s="35" t="str">
        <x:v>未从可靠公开中文资料核实；保留WBF英文登记名</x:v>
      </x:c>
      <x:c r="D48" s="35"/>
      <x:c r="E48" s="35" t="n">
        <x:v>1</x:v>
      </x:c>
    </x:row>
    <x:row r="49">
      <x:c r="A49" s="16" t="str">
        <x:v>Jiahao Yang</x:v>
      </x:c>
      <x:c r="B49" s="16"/>
      <x:c r="C49" s="16" t="str">
        <x:v>未从可靠公开中文资料核实；保留WBF英文登记名</x:v>
      </x:c>
      <x:c r="D49" s="16"/>
      <x:c r="E49" s="16" t="n">
        <x:v>3</x:v>
      </x:c>
    </x:row>
    <x:row r="50">
      <x:c r="A50" s="35" t="str">
        <x:v>Jiahe Shen</x:v>
      </x:c>
      <x:c r="B50" s="35"/>
      <x:c r="C50" s="35" t="str">
        <x:v>未从可靠公开中文资料核实；保留WBF英文登记名</x:v>
      </x:c>
      <x:c r="D50" s="35"/>
      <x:c r="E50" s="35" t="n">
        <x:v>1</x:v>
      </x:c>
    </x:row>
    <x:row r="51">
      <x:c r="A51" s="16" t="str">
        <x:v>Jiaming Xu</x:v>
      </x:c>
      <x:c r="B51" s="16"/>
      <x:c r="C51" s="16" t="str">
        <x:v>未从可靠公开中文资料核实；保留WBF英文登记名</x:v>
      </x:c>
      <x:c r="D51" s="16"/>
      <x:c r="E51" s="16" t="n">
        <x:v>3</x:v>
      </x:c>
    </x:row>
    <x:row r="52">
      <x:c r="A52" s="35" t="str">
        <x:v>Jian Hua Tao</x:v>
      </x:c>
      <x:c r="B52" s="35"/>
      <x:c r="C52" s="35" t="str">
        <x:v>未从可靠公开中文资料核实；保留WBF英文登记名</x:v>
      </x:c>
      <x:c r="D52" s="35"/>
      <x:c r="E52" s="35" t="n">
        <x:v>1</x:v>
      </x:c>
    </x:row>
    <x:row r="53">
      <x:c r="A53" s="16" t="str">
        <x:v>Jian Ming Dai</x:v>
      </x:c>
      <x:c r="B53" s="16"/>
      <x:c r="C53" s="16" t="str">
        <x:v>未从可靠公开中文资料核实；保留WBF英文登记名</x:v>
      </x:c>
      <x:c r="D53" s="16"/>
      <x:c r="E53" s="16" t="n">
        <x:v>4</x:v>
      </x:c>
    </x:row>
    <x:row r="54">
      <x:c r="A54" s="35" t="str">
        <x:v>Jian Wang</x:v>
      </x:c>
      <x:c r="B54" s="35"/>
      <x:c r="C54" s="35" t="str">
        <x:v>未从可靠公开中文资料核实；保留WBF英文登记名</x:v>
      </x:c>
      <x:c r="D54" s="35"/>
      <x:c r="E54" s="35" t="n">
        <x:v>1</x:v>
      </x:c>
    </x:row>
    <x:row r="55">
      <x:c r="A55" s="16" t="str">
        <x:v>Jianqiu Shen</x:v>
      </x:c>
      <x:c r="B55" s="16"/>
      <x:c r="C55" s="16" t="str">
        <x:v>未从可靠公开中文资料核实；保留WBF英文登记名</x:v>
      </x:c>
      <x:c r="D55" s="16"/>
      <x:c r="E55" s="16" t="n">
        <x:v>1</x:v>
      </x:c>
    </x:row>
    <x:row r="56">
      <x:c r="A56" s="35" t="str">
        <x:v>Jiawen Gu</x:v>
      </x:c>
      <x:c r="B56" s="35"/>
      <x:c r="C56" s="35" t="str">
        <x:v>未从可靠公开中文资料核实；保留WBF英文登记名</x:v>
      </x:c>
      <x:c r="D56" s="35"/>
      <x:c r="E56" s="35" t="n">
        <x:v>1</x:v>
      </x:c>
    </x:row>
    <x:row r="57">
      <x:c r="A57" s="16" t="str">
        <x:v>Jiaxin Tong</x:v>
      </x:c>
      <x:c r="B57" s="16"/>
      <x:c r="C57" s="16" t="str">
        <x:v>未从可靠公开中文资料核实；保留WBF英文登记名</x:v>
      </x:c>
      <x:c r="D57" s="16"/>
      <x:c r="E57" s="16" t="n">
        <x:v>2</x:v>
      </x:c>
    </x:row>
    <x:row r="58">
      <x:c r="A58" s="35" t="str">
        <x:v>Jie Zhao</x:v>
      </x:c>
      <x:c r="B58" s="35" t="str">
        <x:v>赵杰</x:v>
      </x:c>
      <x:c r="C58" s="35" t="str">
        <x:v>新闻资料一致</x:v>
      </x:c>
      <x:c r="D58" s="35" t="str">
        <x:v>https://news.sina.cn/sa/2006-07-02/detail-ikftssap2657445.d.html</x:v>
      </x:c>
      <x:c r="E58" s="35" t="n">
        <x:v>4</x:v>
      </x:c>
    </x:row>
    <x:row r="59">
      <x:c r="A59" s="16" t="str">
        <x:v>Jing Liu</x:v>
      </x:c>
      <x:c r="B59" s="16"/>
      <x:c r="C59" s="16" t="str">
        <x:v>未从可靠公开中文资料核实；保留WBF英文登记名</x:v>
      </x:c>
      <x:c r="D59" s="16"/>
      <x:c r="E59" s="16" t="n">
        <x:v>1</x:v>
      </x:c>
    </x:row>
    <x:row r="60">
      <x:c r="A60" s="35" t="str">
        <x:v>Jing Rong Ran</x:v>
      </x:c>
      <x:c r="B60" s="35"/>
      <x:c r="C60" s="35" t="str">
        <x:v>未从可靠公开中文资料核实；保留WBF英文登记名</x:v>
      </x:c>
      <x:c r="D60" s="35"/>
      <x:c r="E60" s="35" t="n">
        <x:v>4</x:v>
      </x:c>
    </x:row>
    <x:row r="61">
      <x:c r="A61" s="16" t="str">
        <x:v>Jingfan Chen</x:v>
      </x:c>
      <x:c r="B61" s="16"/>
      <x:c r="C61" s="16" t="str">
        <x:v>未从可靠公开中文资料核实；保留WBF英文登记名</x:v>
      </x:c>
      <x:c r="D61" s="16"/>
      <x:c r="E61" s="16" t="n">
        <x:v>1</x:v>
      </x:c>
    </x:row>
    <x:row r="62">
      <x:c r="A62" s="35" t="str">
        <x:v>Jixiao Han</x:v>
      </x:c>
      <x:c r="B62" s="35"/>
      <x:c r="C62" s="35" t="str">
        <x:v>未从可靠公开中文资料核实；保留WBF英文登记名</x:v>
      </x:c>
      <x:c r="D62" s="35"/>
      <x:c r="E62" s="35" t="n">
        <x:v>2</x:v>
      </x:c>
    </x:row>
    <x:row r="63">
      <x:c r="A63" s="16" t="str">
        <x:v>Junjie Hu</x:v>
      </x:c>
      <x:c r="B63" s="16"/>
      <x:c r="C63" s="16" t="str">
        <x:v>未从可靠公开中文资料核实；保留WBF英文登记名</x:v>
      </x:c>
      <x:c r="D63" s="16"/>
      <x:c r="E63" s="16" t="n">
        <x:v>3</x:v>
      </x:c>
    </x:row>
    <x:row r="64">
      <x:c r="A64" s="35" t="str">
        <x:v>Kai Jin</x:v>
      </x:c>
      <x:c r="B64" s="35"/>
      <x:c r="C64" s="35" t="str">
        <x:v>未从可靠公开中文资料核实；保留WBF英文登记名</x:v>
      </x:c>
      <x:c r="D64" s="35"/>
      <x:c r="E64" s="35" t="n">
        <x:v>2</x:v>
      </x:c>
    </x:row>
    <x:row r="65">
      <x:c r="A65" s="16" t="str">
        <x:v>Kai Lu</x:v>
      </x:c>
      <x:c r="B65" s="16"/>
      <x:c r="C65" s="16" t="str">
        <x:v>未从可靠公开中文资料核实；保留WBF英文登记名</x:v>
      </x:c>
      <x:c r="D65" s="16"/>
      <x:c r="E65" s="16" t="n">
        <x:v>1</x:v>
      </x:c>
    </x:row>
    <x:row r="66">
      <x:c r="A66" s="35" t="str">
        <x:v>Kaiwen Yu</x:v>
      </x:c>
      <x:c r="B66" s="35"/>
      <x:c r="C66" s="35" t="str">
        <x:v>未从可靠公开中文资料核实；保留WBF英文登记名</x:v>
      </x:c>
      <x:c r="D66" s="35"/>
      <x:c r="E66" s="35" t="n">
        <x:v>1</x:v>
      </x:c>
    </x:row>
    <x:row r="67">
      <x:c r="A67" s="16" t="str">
        <x:v>Ke Guo</x:v>
      </x:c>
      <x:c r="B67" s="16"/>
      <x:c r="C67" s="16" t="str">
        <x:v>未从可靠公开中文资料核实；保留WBF英文登记名</x:v>
      </x:c>
      <x:c r="D67" s="16"/>
      <x:c r="E67" s="16" t="n">
        <x:v>1</x:v>
      </x:c>
    </x:row>
    <x:row r="68">
      <x:c r="A68" s="35" t="str">
        <x:v>Lepeng Shen</x:v>
      </x:c>
      <x:c r="B68" s="35"/>
      <x:c r="C68" s="35" t="str">
        <x:v>未从可靠公开中文资料核实；保留WBF英文登记名</x:v>
      </x:c>
      <x:c r="D68" s="35"/>
      <x:c r="E68" s="35" t="n">
        <x:v>1</x:v>
      </x:c>
    </x:row>
    <x:row r="69">
      <x:c r="A69" s="16" t="str">
        <x:v>Li Chen</x:v>
      </x:c>
      <x:c r="B69" s="16"/>
      <x:c r="C69" s="16" t="str">
        <x:v>未从可靠公开中文资料核实；保留WBF英文登记名</x:v>
      </x:c>
      <x:c r="D69" s="16"/>
      <x:c r="E69" s="16" t="n">
        <x:v>1</x:v>
      </x:c>
    </x:row>
    <x:row r="70">
      <x:c r="A70" s="35" t="str">
        <x:v>Li Xin Yang</x:v>
      </x:c>
      <x:c r="B70" s="35"/>
      <x:c r="C70" s="35" t="str">
        <x:v>未从可靠公开中文资料核实；保留WBF英文登记名</x:v>
      </x:c>
      <x:c r="D70" s="35"/>
      <x:c r="E70" s="35" t="n">
        <x:v>3</x:v>
      </x:c>
    </x:row>
    <x:row r="71">
      <x:c r="A71" s="16" t="str">
        <x:v>Licong Cheng</x:v>
      </x:c>
      <x:c r="B71" s="16"/>
      <x:c r="C71" s="16" t="str">
        <x:v>未从可靠公开中文资料核实；保留WBF英文登记名</x:v>
      </x:c>
      <x:c r="D71" s="16"/>
      <x:c r="E71" s="16" t="n">
        <x:v>3</x:v>
      </x:c>
    </x:row>
    <x:row r="72">
      <x:c r="A72" s="35" t="str">
        <x:v>Ling Gan</x:v>
      </x:c>
      <x:c r="B72" s="35"/>
      <x:c r="C72" s="35" t="str">
        <x:v>未从可靠公开中文资料核实；保留WBF英文登记名</x:v>
      </x:c>
      <x:c r="D72" s="35"/>
      <x:c r="E72" s="35" t="n">
        <x:v>2</x:v>
      </x:c>
    </x:row>
    <x:row r="73">
      <x:c r="A73" s="16" t="str">
        <x:v>Ling Gu</x:v>
      </x:c>
      <x:c r="B73" s="16"/>
      <x:c r="C73" s="16" t="str">
        <x:v>未从可靠公开中文资料核实；保留WBF英文登记名</x:v>
      </x:c>
      <x:c r="D73" s="16"/>
      <x:c r="E73" s="16" t="n">
        <x:v>8</x:v>
      </x:c>
    </x:row>
    <x:row r="74">
      <x:c r="A74" s="35" t="str">
        <x:v>Ling Hu</x:v>
      </x:c>
      <x:c r="B74" s="35"/>
      <x:c r="C74" s="35" t="str">
        <x:v>未从可靠公开中文资料核实；保留WBF英文登记名</x:v>
      </x:c>
      <x:c r="D74" s="35"/>
      <x:c r="E74" s="35" t="n">
        <x:v>1</x:v>
      </x:c>
    </x:row>
    <x:row r="75">
      <x:c r="A75" s="16" t="str">
        <x:v>Lingyi Ma</x:v>
      </x:c>
      <x:c r="B75" s="16"/>
      <x:c r="C75" s="16" t="str">
        <x:v>未从可靠公开中文资料核实；保留WBF英文登记名</x:v>
      </x:c>
      <x:c r="D75" s="16"/>
      <x:c r="E75" s="16" t="n">
        <x:v>1</x:v>
      </x:c>
    </x:row>
    <x:row r="76">
      <x:c r="A76" s="35" t="str">
        <x:v>Lingyun Teng</x:v>
      </x:c>
      <x:c r="B76" s="35"/>
      <x:c r="C76" s="35" t="str">
        <x:v>未从可靠公开中文资料核实；保留WBF英文登记名</x:v>
      </x:c>
      <x:c r="D76" s="35"/>
      <x:c r="E76" s="35" t="n">
        <x:v>1</x:v>
      </x:c>
    </x:row>
    <x:row r="77">
      <x:c r="A77" s="16" t="str">
        <x:v>Liping Wang</x:v>
      </x:c>
      <x:c r="B77" s="16"/>
      <x:c r="C77" s="16" t="str">
        <x:v>未从可靠公开中文资料核实；保留WBF英文登记名</x:v>
      </x:c>
      <x:c r="D77" s="16"/>
      <x:c r="E77" s="16" t="n">
        <x:v>4</x:v>
      </x:c>
    </x:row>
    <x:row r="78">
      <x:c r="A78" s="35" t="str">
        <x:v>Lulu Peng</x:v>
      </x:c>
      <x:c r="B78" s="35"/>
      <x:c r="C78" s="35" t="str">
        <x:v>未从可靠公开中文资料核实；保留WBF英文登记名</x:v>
      </x:c>
      <x:c r="D78" s="35"/>
      <x:c r="E78" s="35" t="n">
        <x:v>1</x:v>
      </x:c>
    </x:row>
    <x:row r="79">
      <x:c r="A79" s="16" t="str">
        <x:v>Luxi Gong</x:v>
      </x:c>
      <x:c r="B79" s="16"/>
      <x:c r="C79" s="16" t="str">
        <x:v>未从可靠公开中文资料核实；保留WBF英文登记名</x:v>
      </x:c>
      <x:c r="D79" s="16"/>
      <x:c r="E79" s="16" t="n">
        <x:v>1</x:v>
      </x:c>
    </x:row>
    <x:row r="80">
      <x:c r="A80" s="35" t="str">
        <x:v>Mao Yuan Hu</x:v>
      </x:c>
      <x:c r="B80" s="35"/>
      <x:c r="C80" s="35" t="str">
        <x:v>未从可靠公开中文资料核实；保留WBF英文登记名</x:v>
      </x:c>
      <x:c r="D80" s="35"/>
      <x:c r="E80" s="35" t="n">
        <x:v>3</x:v>
      </x:c>
    </x:row>
    <x:row r="81">
      <x:c r="A81" s="16" t="str">
        <x:v>Meiling Zhou</x:v>
      </x:c>
      <x:c r="B81" s="16"/>
      <x:c r="C81" s="16" t="str">
        <x:v>未从可靠公开中文资料核实；保留WBF英文登记名</x:v>
      </x:c>
      <x:c r="D81" s="16"/>
      <x:c r="E81" s="16" t="n">
        <x:v>1</x:v>
      </x:c>
    </x:row>
    <x:row r="82">
      <x:c r="A82" s="35" t="str">
        <x:v>Mengqi Hao</x:v>
      </x:c>
      <x:c r="B82" s="35"/>
      <x:c r="C82" s="35" t="str">
        <x:v>未从可靠公开中文资料核实；保留WBF英文登记名</x:v>
      </x:c>
      <x:c r="D82" s="35"/>
      <x:c r="E82" s="35" t="n">
        <x:v>1</x:v>
      </x:c>
    </x:row>
    <x:row r="83">
      <x:c r="A83" s="16" t="str">
        <x:v>Ming Sheng</x:v>
      </x:c>
      <x:c r="B83" s="16"/>
      <x:c r="C83" s="16" t="str">
        <x:v>未从可靠公开中文资料核实；保留WBF英文登记名</x:v>
      </x:c>
      <x:c r="D83" s="16"/>
      <x:c r="E83" s="16" t="n">
        <x:v>1</x:v>
      </x:c>
    </x:row>
    <x:row r="84">
      <x:c r="A84" s="35" t="str">
        <x:v>Ming Sun</x:v>
      </x:c>
      <x:c r="B84" s="35" t="str">
        <x:v>孙铭</x:v>
      </x:c>
      <x:c r="C84" s="35" t="str">
        <x:v>2009中国女队报道</x:v>
      </x:c>
      <x:c r="D84" s="35" t="str">
        <x:v>https://sports.sina.cn/others/qipai/2020-07-08/detail-iirczymm1234663.d.html</x:v>
      </x:c>
      <x:c r="E84" s="35" t="n">
        <x:v>9</x:v>
      </x:c>
    </x:row>
    <x:row r="85">
      <x:c r="A85" s="16" t="str">
        <x:v>Mingkun Shen</x:v>
      </x:c>
      <x:c r="B85" s="16"/>
      <x:c r="C85" s="16" t="str">
        <x:v>未从可靠公开中文资料核实；保留WBF英文登记名</x:v>
      </x:c>
      <x:c r="D85" s="16"/>
      <x:c r="E85" s="16" t="n">
        <x:v>1</x:v>
      </x:c>
    </x:row>
    <x:row r="86">
      <x:c r="A86" s="35" t="str">
        <x:v>Mingyu Lu</x:v>
      </x:c>
      <x:c r="B86" s="35"/>
      <x:c r="C86" s="35" t="str">
        <x:v>未从可靠公开中文资料核实；保留WBF英文登记名</x:v>
      </x:c>
      <x:c r="D86" s="35"/>
      <x:c r="E86" s="35" t="n">
        <x:v>3</x:v>
      </x:c>
    </x:row>
    <x:row r="87">
      <x:c r="A87" s="16" t="str">
        <x:v>Nan Wang</x:v>
      </x:c>
      <x:c r="B87" s="16" t="str">
        <x:v>王南</x:v>
      </x:c>
      <x:c r="C87" s="16" t="str">
        <x:v>人物/赛事报道</x:v>
      </x:c>
      <x:c r="D87" s="16" t="str">
        <x:v>https://sports.sina.cn/others/qipai/2018-12-07/detail-ihprknvt5571856.d.html</x:v>
      </x:c>
      <x:c r="E87" s="16" t="n">
        <x:v>6</x:v>
      </x:c>
    </x:row>
    <x:row r="88">
      <x:c r="A88" s="35" t="str">
        <x:v>Ningyu Lang</x:v>
      </x:c>
      <x:c r="B88" s="35"/>
      <x:c r="C88" s="35" t="str">
        <x:v>未从可靠公开中文资料核实；保留WBF英文登记名</x:v>
      </x:c>
      <x:c r="D88" s="35"/>
      <x:c r="E88" s="35" t="n">
        <x:v>1</x:v>
      </x:c>
    </x:row>
    <x:row r="89">
      <x:c r="A89" s="16" t="str">
        <x:v>Penghao Wang</x:v>
      </x:c>
      <x:c r="B89" s="16"/>
      <x:c r="C89" s="16" t="str">
        <x:v>未从可靠公开中文资料核实；保留WBF英文登记名</x:v>
      </x:c>
      <x:c r="D89" s="16"/>
      <x:c r="E89" s="16" t="n">
        <x:v>5</x:v>
      </x:c>
    </x:row>
    <x:row r="90">
      <x:c r="A90" s="35" t="str">
        <x:v>Pengqiao Qu</x:v>
      </x:c>
      <x:c r="B90" s="35"/>
      <x:c r="C90" s="35" t="str">
        <x:v>未从可靠公开中文资料核实；保留WBF英文登记名</x:v>
      </x:c>
      <x:c r="D90" s="35"/>
      <x:c r="E90" s="35" t="n">
        <x:v>1</x:v>
      </x:c>
    </x:row>
    <x:row r="91">
      <x:c r="A91" s="16" t="str">
        <x:v>Ping Wang</x:v>
      </x:c>
      <x:c r="B91" s="16"/>
      <x:c r="C91" s="16" t="str">
        <x:v>未从可靠公开中文资料核实；保留WBF英文登记名</x:v>
      </x:c>
      <x:c r="D91" s="16"/>
      <x:c r="E91" s="16" t="n">
        <x:v>1</x:v>
      </x:c>
    </x:row>
    <x:row r="92">
      <x:c r="A92" s="35" t="str">
        <x:v>Qi Shen</x:v>
      </x:c>
      <x:c r="B92" s="35" t="str">
        <x:v>沈琦</x:v>
      </x:c>
      <x:c r="C92" s="35" t="str">
        <x:v>中国桥牌回顾资料</x:v>
      </x:c>
      <x:c r="D92" s="35" t="str">
        <x:v>https://zhuanlan.zhihu.com/p/481523374</x:v>
      </x:c>
      <x:c r="E92" s="35" t="n">
        <x:v>3</x:v>
      </x:c>
    </x:row>
    <x:row r="93">
      <x:c r="A93" s="16" t="str">
        <x:v>Qi Song</x:v>
      </x:c>
      <x:c r="B93" s="16"/>
      <x:c r="C93" s="16" t="str">
        <x:v>未从可靠公开中文资料核实；保留WBF英文登记名</x:v>
      </x:c>
      <x:c r="D93" s="16"/>
      <x:c r="E93" s="16" t="n">
        <x:v>1</x:v>
      </x:c>
    </x:row>
    <x:row r="94">
      <x:c r="A94" s="35" t="str">
        <x:v>Qi Xia</x:v>
      </x:c>
      <x:c r="B94" s="35"/>
      <x:c r="C94" s="35" t="str">
        <x:v>未从可靠公开中文资料核实；保留WBF英文登记名</x:v>
      </x:c>
      <x:c r="D94" s="35"/>
      <x:c r="E94" s="35" t="n">
        <x:v>1</x:v>
      </x:c>
    </x:row>
    <x:row r="95">
      <x:c r="A95" s="16" t="str">
        <x:v>Qian Sun</x:v>
      </x:c>
      <x:c r="B95" s="16"/>
      <x:c r="C95" s="16" t="str">
        <x:v>未从可靠公开中文资料核实；保留WBF英文登记名</x:v>
      </x:c>
      <x:c r="D95" s="16"/>
      <x:c r="E95" s="16" t="n">
        <x:v>1</x:v>
      </x:c>
    </x:row>
    <x:row r="96">
      <x:c r="A96" s="35" t="str">
        <x:v>Qihao Wu</x:v>
      </x:c>
      <x:c r="B96" s="35"/>
      <x:c r="C96" s="35" t="str">
        <x:v>未从可靠公开中文资料核实；保留WBF英文登记名</x:v>
      </x:c>
      <x:c r="D96" s="35"/>
      <x:c r="E96" s="35" t="n">
        <x:v>1</x:v>
      </x:c>
    </x:row>
    <x:row r="97">
      <x:c r="A97" s="16" t="str">
        <x:v>Qinghong Zhou</x:v>
      </x:c>
      <x:c r="B97" s="16"/>
      <x:c r="C97" s="16" t="str">
        <x:v>未从可靠公开中文资料核实；保留WBF英文登记名</x:v>
      </x:c>
      <x:c r="D97" s="16"/>
      <x:c r="E97" s="16" t="n">
        <x:v>1</x:v>
      </x:c>
    </x:row>
    <x:row r="98">
      <x:c r="A98" s="35" t="str">
        <x:v>Randy Pan</x:v>
      </x:c>
      <x:c r="B98" s="35"/>
      <x:c r="C98" s="35" t="str">
        <x:v>未从可靠公开中文资料核实；保留WBF英文登记名</x:v>
      </x:c>
      <x:c r="D98" s="35"/>
      <x:c r="E98" s="35" t="n">
        <x:v>4</x:v>
      </x:c>
    </x:row>
    <x:row r="99">
      <x:c r="A99" s="16" t="str">
        <x:v>Renyu Li</x:v>
      </x:c>
      <x:c r="B99" s="16"/>
      <x:c r="C99" s="16" t="str">
        <x:v>未从可靠公开中文资料核实；保留WBF英文登记名</x:v>
      </x:c>
      <x:c r="D99" s="16"/>
      <x:c r="E99" s="16" t="n">
        <x:v>1</x:v>
      </x:c>
    </x:row>
    <x:row r="100">
      <x:c r="A100" s="35" t="str">
        <x:v>Rongqiang Lin</x:v>
      </x:c>
      <x:c r="B100" s="35"/>
      <x:c r="C100" s="35" t="str">
        <x:v>未从可靠公开中文资料核实；保留WBF英文登记名</x:v>
      </x:c>
      <x:c r="D100" s="35"/>
      <x:c r="E100" s="35" t="n">
        <x:v>2</x:v>
      </x:c>
    </x:row>
    <x:row r="101">
      <x:c r="A101" s="16" t="str">
        <x:v>Ru Yan</x:v>
      </x:c>
      <x:c r="B101" s="16" t="str">
        <x:v>阎茹</x:v>
      </x:c>
      <x:c r="C101" s="16" t="str">
        <x:v>2009中国女队报道</x:v>
      </x:c>
      <x:c r="D101" s="16" t="str">
        <x:v>https://sports.sina.cn/others/qipai/2020-07-08/detail-iirczymm1234663.d.html</x:v>
      </x:c>
      <x:c r="E101" s="16" t="n">
        <x:v>2</x:v>
      </x:c>
    </x:row>
    <x:row r="102">
      <x:c r="A102" s="35" t="str">
        <x:v>Rui Li</x:v>
      </x:c>
      <x:c r="B102" s="35"/>
      <x:c r="C102" s="35" t="str">
        <x:v>未从可靠公开中文资料核实；保留WBF英文登记名</x:v>
      </x:c>
      <x:c r="D102" s="35"/>
      <x:c r="E102" s="35" t="n">
        <x:v>1</x:v>
      </x:c>
    </x:row>
    <x:row r="103">
      <x:c r="A103" s="16" t="str">
        <x:v>Ruicheng Mao</x:v>
      </x:c>
      <x:c r="B103" s="16"/>
      <x:c r="C103" s="16" t="str">
        <x:v>未从可靠公开中文资料核实；保留WBF英文登记名</x:v>
      </x:c>
      <x:c r="D103" s="16"/>
      <x:c r="E103" s="16" t="n">
        <x:v>3</x:v>
      </x:c>
    </x:row>
    <x:row r="104">
      <x:c r="A104" s="35" t="str">
        <x:v>Ruizhe Wang</x:v>
      </x:c>
      <x:c r="B104" s="35"/>
      <x:c r="C104" s="35" t="str">
        <x:v>未从可靠公开中文资料核实；保留WBF英文登记名</x:v>
      </x:c>
      <x:c r="D104" s="35"/>
      <x:c r="E104" s="35" t="n">
        <x:v>4</x:v>
      </x:c>
    </x:row>
    <x:row r="105">
      <x:c r="A105" s="16" t="str">
        <x:v>Ruo Fei Ma</x:v>
      </x:c>
      <x:c r="B105" s="16"/>
      <x:c r="C105" s="16" t="str">
        <x:v>未从可靠公开中文资料核实；保留WBF英文登记名</x:v>
      </x:c>
      <x:c r="D105" s="16"/>
      <x:c r="E105" s="16" t="n">
        <x:v>1</x:v>
      </x:c>
    </x:row>
    <x:row r="106">
      <x:c r="A106" s="35" t="str">
        <x:v>Ruohan Liu</x:v>
      </x:c>
      <x:c r="B106" s="35"/>
      <x:c r="C106" s="35" t="str">
        <x:v>未从可靠公开中文资料核实；保留WBF英文登记名</x:v>
      </x:c>
      <x:c r="D106" s="35"/>
      <x:c r="E106" s="35" t="n">
        <x:v>1</x:v>
      </x:c>
    </x:row>
    <x:row r="107">
      <x:c r="A107" s="16" t="str">
        <x:v>Shangjie Wu</x:v>
      </x:c>
      <x:c r="B107" s="16"/>
      <x:c r="C107" s="16" t="str">
        <x:v>未从可靠公开中文资料核实；保留WBF英文登记名</x:v>
      </x:c>
      <x:c r="D107" s="16"/>
      <x:c r="E107" s="16" t="n">
        <x:v>1</x:v>
      </x:c>
    </x:row>
    <x:row r="108">
      <x:c r="A108" s="35" t="str">
        <x:v>Shaohong Wu</x:v>
      </x:c>
      <x:c r="B108" s="35"/>
      <x:c r="C108" s="35" t="str">
        <x:v>未从可靠公开中文资料核实；保留WBF英文登记名</x:v>
      </x:c>
      <x:c r="D108" s="35"/>
      <x:c r="E108" s="35" t="n">
        <x:v>1</x:v>
      </x:c>
    </x:row>
    <x:row r="109">
      <x:c r="A109" s="16" t="str">
        <x:v>Shaolin Sun</x:v>
      </x:c>
      <x:c r="B109" s="16"/>
      <x:c r="C109" s="16" t="str">
        <x:v>未从可靠公开中文资料核实；保留WBF英文登记名</x:v>
      </x:c>
      <x:c r="D109" s="16"/>
      <x:c r="E109" s="16" t="n">
        <x:v>1</x:v>
      </x:c>
    </x:row>
    <x:row r="110">
      <x:c r="A110" s="35" t="str">
        <x:v>Shengle Zhang</x:v>
      </x:c>
      <x:c r="B110" s="35"/>
      <x:c r="C110" s="35" t="str">
        <x:v>未从可靠公开中文资料核实；保留WBF英文登记名</x:v>
      </x:c>
      <x:c r="D110" s="35"/>
      <x:c r="E110" s="35" t="n">
        <x:v>1</x:v>
      </x:c>
    </x:row>
    <x:row r="111">
      <x:c r="A111" s="16" t="str">
        <x:v>Shengyue Gui</x:v>
      </x:c>
      <x:c r="B111" s="16"/>
      <x:c r="C111" s="16" t="str">
        <x:v>未从可靠公开中文资料核实；保留WBF英文登记名</x:v>
      </x:c>
      <x:c r="D111" s="16"/>
      <x:c r="E111" s="16" t="n">
        <x:v>1</x:v>
      </x:c>
    </x:row>
    <x:row r="112">
      <x:c r="A112" s="35" t="str">
        <x:v>Shi Qiu</x:v>
      </x:c>
      <x:c r="B112" s="35"/>
      <x:c r="C112" s="35" t="str">
        <x:v>未从可靠公开中文资料核实；保留WBF英文登记名</x:v>
      </x:c>
      <x:c r="D112" s="35"/>
      <x:c r="E112" s="35" t="n">
        <x:v>2</x:v>
      </x:c>
    </x:row>
    <x:row r="113">
      <x:c r="A113" s="16" t="str">
        <x:v>Shiyi Li</x:v>
      </x:c>
      <x:c r="B113" s="16"/>
      <x:c r="C113" s="16" t="str">
        <x:v>未从可靠公开中文资料核实；保留WBF英文登记名</x:v>
      </x:c>
      <x:c r="D113" s="16"/>
      <x:c r="E113" s="16" t="n">
        <x:v>1</x:v>
      </x:c>
    </x:row>
    <x:row r="114">
      <x:c r="A114" s="35" t="str">
        <x:v>Shiyu Sun</x:v>
      </x:c>
      <x:c r="B114" s="35"/>
      <x:c r="C114" s="35" t="str">
        <x:v>未从可靠公开中文资料核实；保留WBF英文登记名</x:v>
      </x:c>
      <x:c r="D114" s="35"/>
      <x:c r="E114" s="35" t="n">
        <x:v>4</x:v>
      </x:c>
    </x:row>
    <x:row r="115">
      <x:c r="A115" s="16" t="str">
        <x:v>Shiyun Mao</x:v>
      </x:c>
      <x:c r="B115" s="16"/>
      <x:c r="C115" s="16" t="str">
        <x:v>未从可靠公开中文资料核实；保留WBF英文登记名</x:v>
      </x:c>
      <x:c r="D115" s="16"/>
      <x:c r="E115" s="16" t="n">
        <x:v>1</x:v>
      </x:c>
    </x:row>
    <x:row r="116">
      <x:c r="A116" s="35" t="str">
        <x:v>Shu Liu</x:v>
      </x:c>
      <x:c r="B116" s="35"/>
      <x:c r="C116" s="35" t="str">
        <x:v>未从可靠公开中文资料核实；保留WBF英文登记名</x:v>
      </x:c>
      <x:c r="D116" s="35"/>
      <x:c r="E116" s="35" t="n">
        <x:v>1</x:v>
      </x:c>
    </x:row>
    <x:row r="117">
      <x:c r="A117" s="16" t="str">
        <x:v>Sicheng Liu</x:v>
      </x:c>
      <x:c r="B117" s="16"/>
      <x:c r="C117" s="16" t="str">
        <x:v>未从可靠公开中文资料核实；保留WBF英文登记名</x:v>
      </x:c>
      <x:c r="D117" s="16"/>
      <x:c r="E117" s="16" t="n">
        <x:v>1</x:v>
      </x:c>
    </x:row>
    <x:row r="118">
      <x:c r="A118" s="35" t="str">
        <x:v>Sifan Jiang</x:v>
      </x:c>
      <x:c r="B118" s="35"/>
      <x:c r="C118" s="35" t="str">
        <x:v>未从可靠公开中文资料核实；保留WBF英文登记名</x:v>
      </x:c>
      <x:c r="D118" s="35"/>
      <x:c r="E118" s="35" t="n">
        <x:v>1</x:v>
      </x:c>
    </x:row>
    <x:row r="119">
      <x:c r="A119" s="16" t="str">
        <x:v>Sili Liu</x:v>
      </x:c>
      <x:c r="B119" s="16"/>
      <x:c r="C119" s="16" t="str">
        <x:v>未从可靠公开中文资料核实；保留WBF英文登记名</x:v>
      </x:c>
      <x:c r="D119" s="16"/>
      <x:c r="E119" s="16" t="n">
        <x:v>1</x:v>
      </x:c>
    </x:row>
    <x:row r="120">
      <x:c r="A120" s="35" t="str">
        <x:v>Simin Chen</x:v>
      </x:c>
      <x:c r="B120" s="35"/>
      <x:c r="C120" s="35" t="str">
        <x:v>未从可靠公开中文资料核实；保留WBF英文登记名</x:v>
      </x:c>
      <x:c r="D120" s="35"/>
      <x:c r="E120" s="35" t="n">
        <x:v>1</x:v>
      </x:c>
    </x:row>
    <x:row r="121">
      <x:c r="A121" s="16" t="str">
        <x:v>Sirui Chen</x:v>
      </x:c>
      <x:c r="B121" s="16" t="str"/>
      <x:c r="C121" s="16" t="str">
        <x:v>未从可靠公开中文资料核实；最佳猜测与歧义见“中文姓名推断依据”</x:v>
      </x:c>
      <x:c r="D121" s="16" t="str"/>
      <x:c r="E121" s="16" t="n">
        <x:v>1</x:v>
      </x:c>
    </x:row>
    <x:row r="122">
      <x:c r="A122" s="35" t="str">
        <x:v>Siyuan Liu</x:v>
      </x:c>
      <x:c r="B122" s="35"/>
      <x:c r="C122" s="35" t="str">
        <x:v>未从可靠公开中文资料核实；保留WBF英文登记名</x:v>
      </x:c>
      <x:c r="D122" s="35"/>
      <x:c r="E122" s="35" t="n">
        <x:v>1</x:v>
      </x:c>
    </x:row>
    <x:row r="123">
      <x:c r="A123" s="16" t="str">
        <x:v>Siyuan Shen</x:v>
      </x:c>
      <x:c r="B123" s="16"/>
      <x:c r="C123" s="16" t="str">
        <x:v>未从可靠公开中文资料核实；保留WBF英文登记名</x:v>
      </x:c>
      <x:c r="D123" s="16"/>
      <x:c r="E123" s="16" t="n">
        <x:v>1</x:v>
      </x:c>
    </x:row>
    <x:row r="124">
      <x:c r="A124" s="35" t="str">
        <x:v>Suhang Li</x:v>
      </x:c>
      <x:c r="B124" s="35"/>
      <x:c r="C124" s="35" t="str">
        <x:v>未从可靠公开中文资料核实；保留WBF英文登记名</x:v>
      </x:c>
      <x:c r="D124" s="35"/>
      <x:c r="E124" s="35" t="n">
        <x:v>1</x:v>
      </x:c>
    </x:row>
    <x:row r="125">
      <x:c r="A125" s="16" t="str">
        <x:v>Sun Yanhui</x:v>
      </x:c>
      <x:c r="B125" s="16"/>
      <x:c r="C125" s="16" t="str">
        <x:v>未从可靠公开中文资料核实；保留WBF英文登记名</x:v>
      </x:c>
      <x:c r="D125" s="16"/>
      <x:c r="E125" s="16" t="n">
        <x:v>1</x:v>
      </x:c>
    </x:row>
    <x:row r="126">
      <x:c r="A126" s="35" t="str">
        <x:v>Tao Zhou</x:v>
      </x:c>
      <x:c r="B126" s="35"/>
      <x:c r="C126" s="35" t="str">
        <x:v>未从可靠公开中文资料核实；保留WBF英文登记名</x:v>
      </x:c>
      <x:c r="D126" s="35"/>
      <x:c r="E126" s="35" t="n">
        <x:v>2</x:v>
      </x:c>
    </x:row>
    <x:row r="127">
      <x:c r="A127" s="16" t="str">
        <x:v>Tengbo Tang</x:v>
      </x:c>
      <x:c r="B127" s="16"/>
      <x:c r="C127" s="16" t="str">
        <x:v>未从可靠公开中文资料核实；保留WBF英文登记名</x:v>
      </x:c>
      <x:c r="D127" s="16"/>
      <x:c r="E127" s="16" t="n">
        <x:v>1</x:v>
      </x:c>
    </x:row>
    <x:row r="128">
      <x:c r="A128" s="35" t="str">
        <x:v>Tiancheng Zhang</x:v>
      </x:c>
      <x:c r="B128" s="35"/>
      <x:c r="C128" s="35" t="str">
        <x:v>未从可靠公开中文资料核实；保留WBF英文登记名</x:v>
      </x:c>
      <x:c r="D128" s="35"/>
      <x:c r="E128" s="35" t="n">
        <x:v>2</x:v>
      </x:c>
    </x:row>
    <x:row r="129">
      <x:c r="A129" s="16" t="str">
        <x:v>Tianle Yao</x:v>
      </x:c>
      <x:c r="B129" s="16"/>
      <x:c r="C129" s="16" t="str">
        <x:v>未从可靠公开中文资料核实；保留WBF英文登记名</x:v>
      </x:c>
      <x:c r="D129" s="16"/>
      <x:c r="E129" s="16" t="n">
        <x:v>3</x:v>
      </x:c>
    </x:row>
    <x:row r="130">
      <x:c r="A130" s="35" t="str">
        <x:v>Tianxin Chi</x:v>
      </x:c>
      <x:c r="B130" s="35"/>
      <x:c r="C130" s="35" t="str">
        <x:v>未从可靠公开中文资料核实；保留WBF英文登记名</x:v>
      </x:c>
      <x:c r="D130" s="35"/>
      <x:c r="E130" s="35" t="n">
        <x:v>1</x:v>
      </x:c>
    </x:row>
    <x:row r="131">
      <x:c r="A131" s="16" t="str">
        <x:v>Tianyao Yan</x:v>
      </x:c>
      <x:c r="B131" s="16"/>
      <x:c r="C131" s="16" t="str">
        <x:v>未从可靠公开中文资料核实；保留WBF英文登记名</x:v>
      </x:c>
      <x:c r="D131" s="16"/>
      <x:c r="E131" s="16" t="n">
        <x:v>2</x:v>
      </x:c>
    </x:row>
    <x:row r="132">
      <x:c r="A132" s="35" t="str">
        <x:v>Tianyi Jin</x:v>
      </x:c>
      <x:c r="B132" s="35"/>
      <x:c r="C132" s="35" t="str">
        <x:v>未从可靠公开中文资料核实；保留WBF英文登记名</x:v>
      </x:c>
      <x:c r="D132" s="35"/>
      <x:c r="E132" s="35" t="n">
        <x:v>2</x:v>
      </x:c>
    </x:row>
    <x:row r="133">
      <x:c r="A133" s="16" t="str">
        <x:v>Tianyu Zhang</x:v>
      </x:c>
      <x:c r="B133" s="16"/>
      <x:c r="C133" s="16" t="str">
        <x:v>未从可靠公开中文资料核实；保留WBF英文登记名</x:v>
      </x:c>
      <x:c r="D133" s="16"/>
      <x:c r="E133" s="16" t="n">
        <x:v>1</x:v>
      </x:c>
    </x:row>
    <x:row r="134">
      <x:c r="A134" s="35" t="str">
        <x:v>Tie Chen</x:v>
      </x:c>
      <x:c r="B134" s="35"/>
      <x:c r="C134" s="35" t="str">
        <x:v>未从可靠公开中文资料核实；保留WBF英文登记名</x:v>
      </x:c>
      <x:c r="D134" s="35"/>
      <x:c r="E134" s="35" t="n">
        <x:v>1</x:v>
      </x:c>
    </x:row>
    <x:row r="135">
      <x:c r="A135" s="16" t="str">
        <x:v>Tong Jiang</x:v>
      </x:c>
      <x:c r="B135" s="16"/>
      <x:c r="C135" s="16" t="str">
        <x:v>未从可靠公开中文资料核实；保留WBF英文登记名</x:v>
      </x:c>
      <x:c r="D135" s="16"/>
      <x:c r="E135" s="16" t="n">
        <x:v>1</x:v>
      </x:c>
    </x:row>
    <x:row r="136">
      <x:c r="A136" s="35" t="str">
        <x:v>Wanyi Lian</x:v>
      </x:c>
      <x:c r="B136" s="35"/>
      <x:c r="C136" s="35" t="str">
        <x:v>未从可靠公开中文资料核实；保留WBF英文登记名</x:v>
      </x:c>
      <x:c r="D136" s="35"/>
      <x:c r="E136" s="35" t="n">
        <x:v>1</x:v>
      </x:c>
    </x:row>
    <x:row r="137">
      <x:c r="A137" s="16" t="str">
        <x:v>Wanying Guo</x:v>
      </x:c>
      <x:c r="B137" s="16"/>
      <x:c r="C137" s="16" t="str">
        <x:v>未从可靠公开中文资料核实；保留WBF英文登记名</x:v>
      </x:c>
      <x:c r="D137" s="16"/>
      <x:c r="E137" s="16" t="n">
        <x:v>1</x:v>
      </x:c>
    </x:row>
    <x:row r="138">
      <x:c r="A138" s="35" t="str">
        <x:v>Wei Meng</x:v>
      </x:c>
      <x:c r="B138" s="35"/>
      <x:c r="C138" s="35" t="str">
        <x:v>未从可靠公开中文资料核实；保留WBF英文登记名</x:v>
      </x:c>
      <x:c r="D138" s="35"/>
      <x:c r="E138" s="35" t="n">
        <x:v>1</x:v>
      </x:c>
    </x:row>
    <x:row r="139">
      <x:c r="A139" s="16" t="str">
        <x:v>Wei Wang</x:v>
      </x:c>
      <x:c r="B139" s="16"/>
      <x:c r="C139" s="16" t="str">
        <x:v>未从可靠公开中文资料核实；保留WBF英文登记名</x:v>
      </x:c>
      <x:c r="D139" s="16"/>
      <x:c r="E139" s="16" t="n">
        <x:v>1</x:v>
      </x:c>
    </x:row>
    <x:row r="140">
      <x:c r="A140" s="35" t="str">
        <x:v>Weimin Wang</x:v>
      </x:c>
      <x:c r="B140" s="35"/>
      <x:c r="C140" s="35" t="str">
        <x:v>未从可靠公开中文资料核实；保留WBF英文登记名</x:v>
      </x:c>
      <x:c r="D140" s="35"/>
      <x:c r="E140" s="35" t="n">
        <x:v>3</x:v>
      </x:c>
    </x:row>
    <x:row r="141">
      <x:c r="A141" s="16" t="str">
        <x:v>Wen Fei Wang</x:v>
      </x:c>
      <x:c r="B141" s="16" t="str">
        <x:v>王文霏</x:v>
      </x:c>
      <x:c r="C141" s="16" t="str">
        <x:v>新闻资料一致</x:v>
      </x:c>
      <x:c r="D141" s="16" t="str">
        <x:v>https://sports.sina.cn/others/qipai/2020-07-08/detail-iirczymm1234663.d.html</x:v>
      </x:c>
      <x:c r="E141" s="16" t="n">
        <x:v>13</x:v>
      </x:c>
    </x:row>
    <x:row r="142">
      <x:c r="A142" s="35" t="str">
        <x:v>Wenfei Yu</x:v>
      </x:c>
      <x:c r="B142" s="35"/>
      <x:c r="C142" s="35" t="str">
        <x:v>未从可靠公开中文资料核实；保留WBF英文登记名</x:v>
      </x:c>
      <x:c r="D142" s="35"/>
      <x:c r="E142" s="35" t="n">
        <x:v>1</x:v>
      </x:c>
    </x:row>
    <x:row r="143">
      <x:c r="A143" s="16" t="str">
        <x:v>Wenjie Xue</x:v>
      </x:c>
      <x:c r="B143" s="16"/>
      <x:c r="C143" s="16" t="str">
        <x:v>未从可靠公开中文资料核实；保留WBF英文登记名</x:v>
      </x:c>
      <x:c r="D143" s="16"/>
      <x:c r="E143" s="16" t="n">
        <x:v>1</x:v>
      </x:c>
    </x:row>
    <x:row r="144">
      <x:c r="A144" s="35" t="str">
        <x:v>Wenjing Chen</x:v>
      </x:c>
      <x:c r="B144" s="35"/>
      <x:c r="C144" s="35" t="str">
        <x:v>未从可靠公开中文资料核实；保留WBF英文登记名</x:v>
      </x:c>
      <x:c r="D144" s="35"/>
      <x:c r="E144" s="35" t="n">
        <x:v>1</x:v>
      </x:c>
    </x:row>
    <x:row r="145">
      <x:c r="A145" s="16" t="str">
        <x:v>Xiao Xu</x:v>
      </x:c>
      <x:c r="B145" s="16"/>
      <x:c r="C145" s="16" t="str">
        <x:v>未从可靠公开中文资料核实；保留WBF英文登记名</x:v>
      </x:c>
      <x:c r="D145" s="16"/>
      <x:c r="E145" s="16" t="n">
        <x:v>1</x:v>
      </x:c>
    </x:row>
    <x:row r="146">
      <x:c r="A146" s="35" t="str">
        <x:v>Xiaofeng Zhang</x:v>
      </x:c>
      <x:c r="B146" s="35"/>
      <x:c r="C146" s="35" t="str">
        <x:v>未从可靠公开中文资料核实；保留WBF英文登记名</x:v>
      </x:c>
      <x:c r="D146" s="35"/>
      <x:c r="E146" s="35" t="n">
        <x:v>1</x:v>
      </x:c>
    </x:row>
    <x:row r="147">
      <x:c r="A147" s="16" t="str">
        <x:v>Xiaoguang Yu</x:v>
      </x:c>
      <x:c r="B147" s="16"/>
      <x:c r="C147" s="16" t="str">
        <x:v>未从可靠公开中文资料核实；保留WBF英文登记名</x:v>
      </x:c>
      <x:c r="D147" s="16"/>
      <x:c r="E147" s="16" t="n">
        <x:v>1</x:v>
      </x:c>
    </x:row>
    <x:row r="148">
      <x:c r="A148" s="35" t="str">
        <x:v>Xiaonong Shen</x:v>
      </x:c>
      <x:c r="B148" s="35"/>
      <x:c r="C148" s="35" t="str">
        <x:v>未从可靠公开中文资料核实；保留WBF英文登记名</x:v>
      </x:c>
      <x:c r="D148" s="35"/>
      <x:c r="E148" s="35" t="n">
        <x:v>1</x:v>
      </x:c>
    </x:row>
    <x:row r="149">
      <x:c r="A149" s="16" t="str">
        <x:v>Xiaotong Wu</x:v>
      </x:c>
      <x:c r="B149" s="16"/>
      <x:c r="C149" s="16" t="str">
        <x:v>未从可靠公开中文资料核实；保留WBF英文登记名</x:v>
      </x:c>
      <x:c r="D149" s="16"/>
      <x:c r="E149" s="16" t="n">
        <x:v>1</x:v>
      </x:c>
    </x:row>
    <x:row r="150">
      <x:c r="A150" s="35" t="str">
        <x:v>Xiaoxue Zuo</x:v>
      </x:c>
      <x:c r="B150" s="35" t="str">
        <x:v>左晓雪</x:v>
      </x:c>
      <x:c r="C150" s="35" t="str">
        <x:v>人物/赛事报道</x:v>
      </x:c>
      <x:c r="D150" s="35" t="str">
        <x:v>https://sports.sina.cn/others/qipai/2018-12-07/detail-ihprknvt5571856.d.html</x:v>
      </x:c>
      <x:c r="E150" s="35" t="n">
        <x:v>3</x:v>
      </x:c>
    </x:row>
    <x:row r="151">
      <x:c r="A151" s="16" t="str">
        <x:v>Xihan Zhang</x:v>
      </x:c>
      <x:c r="B151" s="16"/>
      <x:c r="C151" s="16" t="str">
        <x:v>未从可靠公开中文资料核实；保留WBF英文登记名</x:v>
      </x:c>
      <x:c r="D151" s="16"/>
      <x:c r="E151" s="16" t="n">
        <x:v>1</x:v>
      </x:c>
    </x:row>
    <x:row r="152">
      <x:c r="A152" s="35" t="str">
        <x:v>Xihao Wang</x:v>
      </x:c>
      <x:c r="B152" s="35"/>
      <x:c r="C152" s="35" t="str">
        <x:v>未从可靠公开中文资料核实；保留WBF英文登记名</x:v>
      </x:c>
      <x:c r="D152" s="35"/>
      <x:c r="E152" s="35" t="n">
        <x:v>2</x:v>
      </x:c>
    </x:row>
    <x:row r="153">
      <x:c r="A153" s="16" t="str">
        <x:v>Xihong Dai</x:v>
      </x:c>
      <x:c r="B153" s="16"/>
      <x:c r="C153" s="16" t="str">
        <x:v>未从可靠公开中文资料核实；保留WBF英文登记名</x:v>
      </x:c>
      <x:c r="D153" s="16"/>
      <x:c r="E153" s="16" t="n">
        <x:v>1</x:v>
      </x:c>
    </x:row>
    <x:row r="154">
      <x:c r="A154" s="35" t="str">
        <x:v>Xin Li</x:v>
      </x:c>
      <x:c r="B154" s="35"/>
      <x:c r="C154" s="35" t="str">
        <x:v>未从可靠公开中文资料核实；保留WBF英文登记名</x:v>
      </x:c>
      <x:c r="D154" s="35"/>
      <x:c r="E154" s="35" t="n">
        <x:v>1</x:v>
      </x:c>
    </x:row>
    <x:row r="155">
      <x:c r="A155" s="16" t="str">
        <x:v>Xincheng Lyu</x:v>
      </x:c>
      <x:c r="B155" s="16"/>
      <x:c r="C155" s="16" t="str">
        <x:v>未从可靠公开中文资料核实；保留WBF英文登记名</x:v>
      </x:c>
      <x:c r="D155" s="16"/>
      <x:c r="E155" s="16" t="n">
        <x:v>1</x:v>
      </x:c>
    </x:row>
    <x:row r="156">
      <x:c r="A156" s="35" t="str">
        <x:v>Xing Li</x:v>
      </x:c>
      <x:c r="B156" s="35"/>
      <x:c r="C156" s="35" t="str">
        <x:v>未从可靠公开中文资料核实；保留WBF英文登记名</x:v>
      </x:c>
      <x:c r="D156" s="35"/>
      <x:c r="E156" s="35" t="n">
        <x:v>1</x:v>
      </x:c>
    </x:row>
    <x:row r="157">
      <x:c r="A157" s="16" t="str">
        <x:v>Xingxing Shan</x:v>
      </x:c>
      <x:c r="B157" s="16"/>
      <x:c r="C157" s="16" t="str">
        <x:v>未从可靠公开中文资料核实；保留WBF英文登记名</x:v>
      </x:c>
      <x:c r="D157" s="16"/>
      <x:c r="E157" s="16" t="n">
        <x:v>1</x:v>
      </x:c>
    </x:row>
    <x:row r="158">
      <x:c r="A158" s="35" t="str">
        <x:v>Xinhao Wu</x:v>
      </x:c>
      <x:c r="B158" s="35"/>
      <x:c r="C158" s="35" t="str">
        <x:v>未从可靠公开中文资料核实；保留WBF英文登记名</x:v>
      </x:c>
      <x:c r="D158" s="35"/>
      <x:c r="E158" s="35" t="n">
        <x:v>3</x:v>
      </x:c>
    </x:row>
    <x:row r="159">
      <x:c r="A159" s="16" t="str">
        <x:v>Xinyao Ruan</x:v>
      </x:c>
      <x:c r="B159" s="16"/>
      <x:c r="C159" s="16" t="str">
        <x:v>未从可靠公开中文资料核实；保留WBF英文登记名</x:v>
      </x:c>
      <x:c r="D159" s="16"/>
      <x:c r="E159" s="16" t="n">
        <x:v>6</x:v>
      </x:c>
    </x:row>
    <x:row r="160">
      <x:c r="A160" s="35" t="str">
        <x:v>Xinyi Li</x:v>
      </x:c>
      <x:c r="B160" s="35"/>
      <x:c r="C160" s="35" t="str">
        <x:v>未从可靠公开中文资料核实；保留WBF英文登记名</x:v>
      </x:c>
      <x:c r="D160" s="35"/>
      <x:c r="E160" s="35" t="n">
        <x:v>2</x:v>
      </x:c>
    </x:row>
    <x:row r="161">
      <x:c r="A161" s="16" t="str">
        <x:v>Xinyi Luo</x:v>
      </x:c>
      <x:c r="B161" s="16"/>
      <x:c r="C161" s="16" t="str">
        <x:v>未从可靠公开中文资料核实；保留WBF英文登记名</x:v>
      </x:c>
      <x:c r="D161" s="16"/>
      <x:c r="E161" s="16" t="n">
        <x:v>1</x:v>
      </x:c>
    </x:row>
    <x:row r="162">
      <x:c r="A162" s="35" t="str">
        <x:v>Xinyi Ni</x:v>
      </x:c>
      <x:c r="B162" s="35"/>
      <x:c r="C162" s="35" t="str">
        <x:v>未从可靠公开中文资料核实；保留WBF英文登记名</x:v>
      </x:c>
      <x:c r="D162" s="35"/>
      <x:c r="E162" s="35" t="n">
        <x:v>1</x:v>
      </x:c>
    </x:row>
    <x:row r="163">
      <x:c r="A163" s="16" t="str">
        <x:v>Xiufen Chang</x:v>
      </x:c>
      <x:c r="B163" s="16"/>
      <x:c r="C163" s="16" t="str">
        <x:v>未从可靠公开中文资料核实；保留WBF英文登记名</x:v>
      </x:c>
      <x:c r="D163" s="16"/>
      <x:c r="E163" s="16" t="n">
        <x:v>1</x:v>
      </x:c>
    </x:row>
    <x:row r="164">
      <x:c r="A164" s="35" t="str">
        <x:v>Xiuting Yu</x:v>
      </x:c>
      <x:c r="B164" s="35"/>
      <x:c r="C164" s="35" t="str">
        <x:v>未从可靠公开中文资料核实；保留WBF英文登记名</x:v>
      </x:c>
      <x:c r="D164" s="35"/>
      <x:c r="E164" s="35" t="n">
        <x:v>1</x:v>
      </x:c>
    </x:row>
    <x:row r="165">
      <x:c r="A165" s="16" t="str">
        <x:v>Xu Hou</x:v>
      </x:c>
      <x:c r="B165" s="16"/>
      <x:c r="C165" s="16" t="str">
        <x:v>未从可靠公开中文资料核实；保留WBF英文登记名</x:v>
      </x:c>
      <x:c r="D165" s="16"/>
      <x:c r="E165" s="16" t="n">
        <x:v>1</x:v>
      </x:c>
    </x:row>
    <x:row r="166">
      <x:c r="A166" s="35" t="str">
        <x:v>Xuanting He</x:v>
      </x:c>
      <x:c r="B166" s="35"/>
      <x:c r="C166" s="35" t="str">
        <x:v>未从可靠公开中文资料核实；保留WBF英文登记名</x:v>
      </x:c>
      <x:c r="D166" s="35"/>
      <x:c r="E166" s="35" t="n">
        <x:v>1</x:v>
      </x:c>
    </x:row>
    <x:row r="167">
      <x:c r="A167" s="16" t="str">
        <x:v>Xuchen Tang</x:v>
      </x:c>
      <x:c r="B167" s="16" t="str"/>
      <x:c r="C167" s="16" t="str">
        <x:v>未从可靠公开中文资料核实；最佳猜测与歧义见“中文姓名推断依据”</x:v>
      </x:c>
      <x:c r="D167" s="16" t="str"/>
      <x:c r="E167" s="16" t="n">
        <x:v>1</x:v>
      </x:c>
    </x:row>
    <x:row r="168">
      <x:c r="A168" s="35" t="str">
        <x:v>Xuefang Yuan</x:v>
      </x:c>
      <x:c r="B168" s="35"/>
      <x:c r="C168" s="35" t="str">
        <x:v>未从可靠公开中文资料核实；保留WBF英文登记名</x:v>
      </x:c>
      <x:c r="D168" s="35"/>
      <x:c r="E168" s="35" t="n">
        <x:v>1</x:v>
      </x:c>
    </x:row>
    <x:row r="169">
      <x:c r="A169" s="16" t="str">
        <x:v>Xuefeng Feng</x:v>
      </x:c>
      <x:c r="B169" s="16"/>
      <x:c r="C169" s="16" t="str">
        <x:v>未从可靠公开中文资料核实；保留WBF英文登记名</x:v>
      </x:c>
      <x:c r="D169" s="16"/>
      <x:c r="E169" s="16" t="n">
        <x:v>1</x:v>
      </x:c>
    </x:row>
    <x:row r="170">
      <x:c r="A170" s="35" t="str">
        <x:v>Xuyang Zhang</x:v>
      </x:c>
      <x:c r="B170" s="35"/>
      <x:c r="C170" s="35" t="str">
        <x:v>未从可靠公开中文资料核实；保留WBF英文登记名</x:v>
      </x:c>
      <x:c r="D170" s="35"/>
      <x:c r="E170" s="35" t="n">
        <x:v>1</x:v>
      </x:c>
    </x:row>
    <x:row r="171">
      <x:c r="A171" s="16" t="str">
        <x:v>Xuze Xu</x:v>
      </x:c>
      <x:c r="B171" s="16"/>
      <x:c r="C171" s="16" t="str">
        <x:v>未从可靠公开中文资料核实；保留WBF英文登记名</x:v>
      </x:c>
      <x:c r="D171" s="16"/>
      <x:c r="E171" s="16" t="n">
        <x:v>1</x:v>
      </x:c>
    </x:row>
    <x:row r="172">
      <x:c r="A172" s="35" t="str">
        <x:v>Yajie Lu</x:v>
      </x:c>
      <x:c r="B172" s="35"/>
      <x:c r="C172" s="35" t="str">
        <x:v>未从可靠公开中文资料核实；保留WBF英文登记名</x:v>
      </x:c>
      <x:c r="D172" s="35"/>
      <x:c r="E172" s="35" t="n">
        <x:v>2</x:v>
      </x:c>
    </x:row>
    <x:row r="173">
      <x:c r="A173" s="16" t="str">
        <x:v>Yalan Zhang</x:v>
      </x:c>
      <x:c r="B173" s="16"/>
      <x:c r="C173" s="16" t="str">
        <x:v>未从可靠公开中文资料核实；保留WBF英文登记名</x:v>
      </x:c>
      <x:c r="D173" s="16"/>
      <x:c r="E173" s="16" t="n">
        <x:v>7</x:v>
      </x:c>
    </x:row>
    <x:row r="174">
      <x:c r="A174" s="35" t="str">
        <x:v>Yan Huang</x:v>
      </x:c>
      <x:c r="B174" s="35"/>
      <x:c r="C174" s="35" t="str">
        <x:v>未从可靠公开中文资料核实；保留WBF英文登记名</x:v>
      </x:c>
      <x:c r="D174" s="35"/>
      <x:c r="E174" s="35" t="n">
        <x:v>7</x:v>
      </x:c>
    </x:row>
    <x:row r="175">
      <x:c r="A175" s="16" t="str">
        <x:v>Yan Liu</x:v>
      </x:c>
      <x:c r="B175" s="16" t="str">
        <x:v>刘艳</x:v>
      </x:c>
      <x:c r="C175" s="16" t="str">
        <x:v>中国桥牌回顾资料</x:v>
      </x:c>
      <x:c r="D175" s="16" t="str">
        <x:v>https://zhuanlan.zhihu.com/p/481523374</x:v>
      </x:c>
      <x:c r="E175" s="16" t="n">
        <x:v>4</x:v>
      </x:c>
    </x:row>
    <x:row r="176">
      <x:c r="A176" s="35" t="str">
        <x:v>Yan Lu</x:v>
      </x:c>
      <x:c r="B176" s="35" t="str">
        <x:v>卢燕</x:v>
      </x:c>
      <x:c r="C176" s="35" t="str">
        <x:v>2024国家混合队报道</x:v>
      </x:c>
      <x:c r="D176" s="35" t="str">
        <x:v>https://www.prnasia.com/story/435035-1.shtml</x:v>
      </x:c>
      <x:c r="E176" s="35" t="n">
        <x:v>9</x:v>
      </x:c>
    </x:row>
    <x:row r="177">
      <x:c r="A177" s="16" t="str">
        <x:v>Yanfeng Chen</x:v>
      </x:c>
      <x:c r="B177" s="16"/>
      <x:c r="C177" s="16" t="str">
        <x:v>未从可靠公开中文资料核实；保留WBF英文登记名</x:v>
      </x:c>
      <x:c r="D177" s="16"/>
      <x:c r="E177" s="16" t="n">
        <x:v>1</x:v>
      </x:c>
    </x:row>
    <x:row r="178">
      <x:c r="A178" s="35" t="str">
        <x:v>Yang Yang</x:v>
      </x:c>
      <x:c r="B178" s="35"/>
      <x:c r="C178" s="35" t="str">
        <x:v>未从可靠公开中文资料核实；保留WBF英文登记名</x:v>
      </x:c>
      <x:c r="D178" s="35"/>
      <x:c r="E178" s="35" t="n">
        <x:v>1</x:v>
      </x:c>
    </x:row>
    <x:row r="179">
      <x:c r="A179" s="16" t="str">
        <x:v>Yanhua Hu</x:v>
      </x:c>
      <x:c r="B179" s="16"/>
      <x:c r="C179" s="16" t="str">
        <x:v>未从可靠公开中文资料核实；保留WBF英文登记名</x:v>
      </x:c>
      <x:c r="D179" s="16"/>
      <x:c r="E179" s="16" t="n">
        <x:v>1</x:v>
      </x:c>
    </x:row>
    <x:row r="180">
      <x:c r="A180" s="35" t="str">
        <x:v>Yanhui Sun</x:v>
      </x:c>
      <x:c r="B180" s="35" t="str">
        <x:v>孙燕慧</x:v>
      </x:c>
      <x:c r="C180" s="35" t="str">
        <x:v>2024国家混合队报道</x:v>
      </x:c>
      <x:c r="D180" s="35" t="str">
        <x:v>https://www.prnasia.com/story/435035-1.shtml</x:v>
      </x:c>
      <x:c r="E180" s="35" t="n">
        <x:v>1</x:v>
      </x:c>
    </x:row>
    <x:row r="181">
      <x:c r="A181" s="16" t="str">
        <x:v>Yanjia Hu</x:v>
      </x:c>
      <x:c r="B181" s="16"/>
      <x:c r="C181" s="16" t="str">
        <x:v>未从可靠公开中文资料核实；保留WBF英文登记名</x:v>
      </x:c>
      <x:c r="D181" s="16"/>
      <x:c r="E181" s="16" t="n">
        <x:v>1</x:v>
      </x:c>
    </x:row>
    <x:row r="182">
      <x:c r="A182" s="35" t="str">
        <x:v>Yanjiao Liu</x:v>
      </x:c>
      <x:c r="B182" s="35"/>
      <x:c r="C182" s="35" t="str">
        <x:v>未从可靠公开中文资料核实；保留WBF英文登记名</x:v>
      </x:c>
      <x:c r="D182" s="35"/>
      <x:c r="E182" s="35" t="n">
        <x:v>1</x:v>
      </x:c>
    </x:row>
    <x:row r="183">
      <x:c r="A183" s="16" t="str">
        <x:v>Yanting Mao</x:v>
      </x:c>
      <x:c r="B183" s="16"/>
      <x:c r="C183" s="16" t="str">
        <x:v>未从可靠公开中文资料核实；保留WBF英文登记名</x:v>
      </x:c>
      <x:c r="D183" s="16"/>
      <x:c r="E183" s="16" t="n">
        <x:v>1</x:v>
      </x:c>
    </x:row>
    <x:row r="184">
      <x:c r="A184" s="35" t="str">
        <x:v>Yanzhuo Fu</x:v>
      </x:c>
      <x:c r="B184" s="35"/>
      <x:c r="C184" s="35" t="str">
        <x:v>未从可靠公开中文资料核实；保留WBF英文登记名</x:v>
      </x:c>
      <x:c r="D184" s="35"/>
      <x:c r="E184" s="35" t="n">
        <x:v>1</x:v>
      </x:c>
    </x:row>
    <x:row r="185">
      <x:c r="A185" s="16" t="str">
        <x:v>Yezhen Ji</x:v>
      </x:c>
      <x:c r="B185" s="16"/>
      <x:c r="C185" s="16" t="str">
        <x:v>未从可靠公开中文资料核实；保留WBF英文登记名</x:v>
      </x:c>
      <x:c r="D185" s="16"/>
      <x:c r="E185" s="16" t="n">
        <x:v>2</x:v>
      </x:c>
    </x:row>
    <x:row r="186">
      <x:c r="A186" s="35" t="str">
        <x:v>Yi Qian Liu</x:v>
      </x:c>
      <x:c r="B186" s="35" t="str">
        <x:v>刘逸倩</x:v>
      </x:c>
      <x:c r="C186" s="35" t="str">
        <x:v>2009中国女队报道；WBF旧库曾误作 Yi Qlan Liu</x:v>
      </x:c>
      <x:c r="D186" s="35" t="str">
        <x:v>https://sports.sina.cn/others/qipai/2020-07-08/detail-iirczymm1234663.d.html</x:v>
      </x:c>
      <x:c r="E186" s="35" t="n">
        <x:v>7</x:v>
      </x:c>
    </x:row>
    <x:row r="187">
      <x:c r="A187" s="16" t="str">
        <x:v>Yichao Chen</x:v>
      </x:c>
      <x:c r="B187" s="16" t="str">
        <x:v>陈一超</x:v>
      </x:c>
      <x:c r="C187" s="16" t="str">
        <x:v>2024国家混合队报道</x:v>
      </x:c>
      <x:c r="D187" s="16" t="str">
        <x:v>https://www.prnasia.com/story/435035-1.shtml</x:v>
      </x:c>
      <x:c r="E187" s="16" t="n">
        <x:v>5</x:v>
      </x:c>
    </x:row>
    <x:row r="188">
      <x:c r="A188" s="35" t="str">
        <x:v>Yichen Luo</x:v>
      </x:c>
      <x:c r="B188" s="35"/>
      <x:c r="C188" s="35" t="str">
        <x:v>未从可靠公开中文资料核实；保留WBF英文登记名</x:v>
      </x:c>
      <x:c r="D188" s="35"/>
      <x:c r="E188" s="35" t="n">
        <x:v>1</x:v>
      </x:c>
    </x:row>
    <x:row r="189">
      <x:c r="A189" s="16" t="str">
        <x:v>Yichen Yin</x:v>
      </x:c>
      <x:c r="B189" s="16"/>
      <x:c r="C189" s="16" t="str">
        <x:v>未从可靠公开中文资料核实；保留WBF英文登记名</x:v>
      </x:c>
      <x:c r="D189" s="16"/>
      <x:c r="E189" s="16" t="n">
        <x:v>2</x:v>
      </x:c>
    </x:row>
    <x:row r="190">
      <x:c r="A190" s="35" t="str">
        <x:v>Yici Wang</x:v>
      </x:c>
      <x:c r="B190" s="35"/>
      <x:c r="C190" s="35" t="str">
        <x:v>未从可靠公开中文资料核实；保留WBF英文登记名</x:v>
      </x:c>
      <x:c r="D190" s="35"/>
      <x:c r="E190" s="35" t="n">
        <x:v>1</x:v>
      </x:c>
    </x:row>
    <x:row r="191">
      <x:c r="A191" s="16" t="str">
        <x:v>Yide Luo</x:v>
      </x:c>
      <x:c r="B191" s="16"/>
      <x:c r="C191" s="16" t="str">
        <x:v>未从可靠公开中文资料核实；保留WBF英文登记名</x:v>
      </x:c>
      <x:c r="D191" s="16"/>
      <x:c r="E191" s="16" t="n">
        <x:v>1</x:v>
      </x:c>
    </x:row>
    <x:row r="192">
      <x:c r="A192" s="35" t="str">
        <x:v>Yihong Liu</x:v>
      </x:c>
      <x:c r="B192" s="35"/>
      <x:c r="C192" s="35" t="str">
        <x:v>未从可靠公开中文资料核实；保留WBF英文登记名</x:v>
      </x:c>
      <x:c r="D192" s="35"/>
      <x:c r="E192" s="35" t="n">
        <x:v>2</x:v>
      </x:c>
    </x:row>
    <x:row r="193">
      <x:c r="A193" s="16" t="str">
        <x:v>Yijia Lu</x:v>
      </x:c>
      <x:c r="B193" s="16"/>
      <x:c r="C193" s="16" t="str">
        <x:v>未从可靠公开中文资料核实；保留WBF英文登记名</x:v>
      </x:c>
      <x:c r="D193" s="16"/>
      <x:c r="E193" s="16" t="n">
        <x:v>3</x:v>
      </x:c>
    </x:row>
    <x:row r="194">
      <x:c r="A194" s="35" t="str">
        <x:v>Yijing Cai</x:v>
      </x:c>
      <x:c r="B194" s="35"/>
      <x:c r="C194" s="35" t="str">
        <x:v>未从可靠公开中文资料核实；保留WBF英文登记名</x:v>
      </x:c>
      <x:c r="D194" s="35"/>
      <x:c r="E194" s="35" t="n">
        <x:v>1</x:v>
      </x:c>
    </x:row>
    <x:row r="195">
      <x:c r="A195" s="16" t="str">
        <x:v>Yijun Shang</x:v>
      </x:c>
      <x:c r="B195" s="16"/>
      <x:c r="C195" s="16" t="str">
        <x:v>未从可靠公开中文资料核实；保留WBF英文登记名</x:v>
      </x:c>
      <x:c r="D195" s="16"/>
      <x:c r="E195" s="16" t="n">
        <x:v>1</x:v>
      </x:c>
    </x:row>
    <x:row r="196">
      <x:c r="A196" s="35" t="str">
        <x:v>Yijun Wu</x:v>
      </x:c>
      <x:c r="B196" s="35"/>
      <x:c r="C196" s="35" t="str">
        <x:v>未从可靠公开中文资料核实；保留WBF英文登记名</x:v>
      </x:c>
      <x:c r="D196" s="35"/>
      <x:c r="E196" s="35" t="n">
        <x:v>1</x:v>
      </x:c>
    </x:row>
    <x:row r="197">
      <x:c r="A197" s="16" t="str">
        <x:v>Yiling Shen</x:v>
      </x:c>
      <x:c r="B197" s="16"/>
      <x:c r="C197" s="16" t="str">
        <x:v>未从可靠公开中文资料核实；保留WBF英文登记名</x:v>
      </x:c>
      <x:c r="D197" s="16"/>
      <x:c r="E197" s="16" t="n">
        <x:v>1</x:v>
      </x:c>
    </x:row>
    <x:row r="198">
      <x:c r="A198" s="35" t="str">
        <x:v>Yinghao Liu</x:v>
      </x:c>
      <x:c r="B198" s="35" t="str">
        <x:v>刘英皓</x:v>
      </x:c>
      <x:c r="C198" s="35" t="str">
        <x:v>2024国家混合队报道</x:v>
      </x:c>
      <x:c r="D198" s="35" t="str">
        <x:v>https://www.prnasia.com/story/435035-1.shtml</x:v>
      </x:c>
      <x:c r="E198" s="35" t="n">
        <x:v>4</x:v>
      </x:c>
    </x:row>
    <x:row r="199">
      <x:c r="A199" s="16" t="str">
        <x:v>Yingqi Wang</x:v>
      </x:c>
      <x:c r="B199" s="16"/>
      <x:c r="C199" s="16" t="str">
        <x:v>未从可靠公开中文资料核实；保留WBF英文登记名</x:v>
      </x:c>
      <x:c r="D199" s="16"/>
      <x:c r="E199" s="16" t="n">
        <x:v>4</x:v>
      </x:c>
    </x:row>
    <x:row r="200">
      <x:c r="A200" s="35" t="str">
        <x:v>Yinpei Shao</x:v>
      </x:c>
      <x:c r="B200" s="35"/>
      <x:c r="C200" s="35" t="str">
        <x:v>未从可靠公开中文资料核实；保留WBF英文登记名</x:v>
      </x:c>
      <x:c r="D200" s="35"/>
      <x:c r="E200" s="35" t="n">
        <x:v>2</x:v>
      </x:c>
    </x:row>
    <x:row r="201">
      <x:c r="A201" s="16" t="str">
        <x:v>Yiping Lu</x:v>
      </x:c>
      <x:c r="B201" s="16"/>
      <x:c r="C201" s="16" t="str">
        <x:v>未从可靠公开中文资料核实；保留WBF英文登记名</x:v>
      </x:c>
      <x:c r="D201" s="16"/>
      <x:c r="E201" s="16" t="n">
        <x:v>1</x:v>
      </x:c>
    </x:row>
    <x:row r="202">
      <x:c r="A202" s="35" t="str">
        <x:v>Yiqin Shao</x:v>
      </x:c>
      <x:c r="B202" s="35"/>
      <x:c r="C202" s="35" t="str">
        <x:v>未从可靠公开中文资料核实；保留WBF英文登记名</x:v>
      </x:c>
      <x:c r="D202" s="35"/>
      <x:c r="E202" s="35" t="n">
        <x:v>1</x:v>
      </x:c>
    </x:row>
    <x:row r="203">
      <x:c r="A203" s="16" t="str">
        <x:v>Yixuan Jiang</x:v>
      </x:c>
      <x:c r="B203" s="16"/>
      <x:c r="C203" s="16" t="str">
        <x:v>未从可靠公开中文资料核实；保留WBF英文登记名</x:v>
      </x:c>
      <x:c r="D203" s="16"/>
      <x:c r="E203" s="16" t="n">
        <x:v>1</x:v>
      </x:c>
    </x:row>
    <x:row r="204">
      <x:c r="A204" s="35" t="str">
        <x:v>Yixuan Liu</x:v>
      </x:c>
      <x:c r="B204" s="35"/>
      <x:c r="C204" s="35" t="str">
        <x:v>未从可靠公开中文资料核实；保留WBF英文登记名</x:v>
      </x:c>
      <x:c r="D204" s="35"/>
      <x:c r="E204" s="35" t="n">
        <x:v>1</x:v>
      </x:c>
    </x:row>
    <x:row r="205">
      <x:c r="A205" s="16" t="str">
        <x:v>Yizheng Ge</x:v>
      </x:c>
      <x:c r="B205" s="16"/>
      <x:c r="C205" s="16" t="str">
        <x:v>未从可靠公开中文资料核实；保留WBF英文登记名</x:v>
      </x:c>
      <x:c r="D205" s="16"/>
      <x:c r="E205" s="16" t="n">
        <x:v>1</x:v>
      </x:c>
    </x:row>
    <x:row r="206">
      <x:c r="A206" s="35" t="str">
        <x:v>Yizhou Liu</x:v>
      </x:c>
      <x:c r="B206" s="35"/>
      <x:c r="C206" s="35" t="str">
        <x:v>未从可靠公开中文资料核实；保留WBF英文登记名</x:v>
      </x:c>
      <x:c r="D206" s="35"/>
      <x:c r="E206" s="35" t="n">
        <x:v>4</x:v>
      </x:c>
    </x:row>
    <x:row r="207">
      <x:c r="A207" s="16" t="str">
        <x:v>Yizhuo Zhang</x:v>
      </x:c>
      <x:c r="B207" s="16"/>
      <x:c r="C207" s="16" t="str">
        <x:v>未从可靠公开中文资料核实；保留WBF英文登记名</x:v>
      </x:c>
      <x:c r="D207" s="16"/>
      <x:c r="E207" s="16" t="n">
        <x:v>1</x:v>
      </x:c>
    </x:row>
    <x:row r="208">
      <x:c r="A208" s="35" t="str">
        <x:v>Yong Chen</x:v>
      </x:c>
      <x:c r="B208" s="35"/>
      <x:c r="C208" s="35" t="str">
        <x:v>未从可靠公开中文资料核实；保留WBF英文登记名</x:v>
      </x:c>
      <x:c r="D208" s="35"/>
      <x:c r="E208" s="35" t="n">
        <x:v>1</x:v>
      </x:c>
    </x:row>
    <x:row r="209">
      <x:c r="A209" s="16" t="str">
        <x:v>Yong Lian</x:v>
      </x:c>
      <x:c r="B209" s="16"/>
      <x:c r="C209" s="16" t="str">
        <x:v>未从可靠公开中文资料核实；保留WBF英文登记名</x:v>
      </x:c>
      <x:c r="D209" s="16"/>
      <x:c r="E209" s="16" t="n">
        <x:v>1</x:v>
      </x:c>
    </x:row>
    <x:row r="210">
      <x:c r="A210" s="35" t="str">
        <x:v>Yong Mei Zhou</x:v>
      </x:c>
      <x:c r="B210" s="35"/>
      <x:c r="C210" s="35" t="str">
        <x:v>未从可靠公开中文资料核实；保留WBF英文登记名</x:v>
      </x:c>
      <x:c r="D210" s="35"/>
      <x:c r="E210" s="35" t="n">
        <x:v>1</x:v>
      </x:c>
    </x:row>
    <x:row r="211">
      <x:c r="A211" s="16" t="str">
        <x:v>Yong Tao</x:v>
      </x:c>
      <x:c r="B211" s="16"/>
      <x:c r="C211" s="16" t="str">
        <x:v>未从可靠公开中文资料核实；保留WBF英文登记名</x:v>
      </x:c>
      <x:c r="D211" s="16"/>
      <x:c r="E211" s="16" t="n">
        <x:v>1</x:v>
      </x:c>
    </x:row>
    <x:row r="212">
      <x:c r="A212" s="35" t="str">
        <x:v>Yongling Dong</x:v>
      </x:c>
      <x:c r="B212" s="35" t="str">
        <x:v>董永灵</x:v>
      </x:c>
      <x:c r="C212" s="35" t="str">
        <x:v>2009中国女队报道</x:v>
      </x:c>
      <x:c r="D212" s="35" t="str">
        <x:v>https://sports.sina.cn/others/qipai/2020-07-08/detail-iirczymm1234663.d.html</x:v>
      </x:c>
      <x:c r="E212" s="35" t="n">
        <x:v>1</x:v>
      </x:c>
    </x:row>
    <x:row r="213">
      <x:c r="A213" s="16" t="str">
        <x:v>Yu Yun</x:v>
      </x:c>
      <x:c r="B213" s="16"/>
      <x:c r="C213" s="16" t="str">
        <x:v>未从可靠公开中文资料核实；保留WBF英文登记名</x:v>
      </x:c>
      <x:c r="D213" s="16"/>
      <x:c r="E213" s="16" t="n">
        <x:v>1</x:v>
      </x:c>
    </x:row>
    <x:row r="214">
      <x:c r="A214" s="35" t="str">
        <x:v>Yu Zhang</x:v>
      </x:c>
      <x:c r="B214" s="35"/>
      <x:c r="C214" s="35" t="str">
        <x:v>未从可靠公开中文资料核实；保留WBF英文登记名</x:v>
      </x:c>
      <x:c r="D214" s="35"/>
      <x:c r="E214" s="35" t="n">
        <x:v>6</x:v>
      </x:c>
    </x:row>
    <x:row r="215">
      <x:c r="A215" s="16" t="str">
        <x:v>Yuantao Zheng</x:v>
      </x:c>
      <x:c r="B215" s="16"/>
      <x:c r="C215" s="16" t="str">
        <x:v>未从可靠公开中文资料核实；保留WBF英文登记名</x:v>
      </x:c>
      <x:c r="D215" s="16"/>
      <x:c r="E215" s="16" t="n">
        <x:v>1</x:v>
      </x:c>
    </x:row>
    <x:row r="216">
      <x:c r="A216" s="35" t="str">
        <x:v>Yuanzhe Ding</x:v>
      </x:c>
      <x:c r="B216" s="35"/>
      <x:c r="C216" s="35" t="str">
        <x:v>未从可靠公开中文资料核实；保留WBF英文登记名</x:v>
      </x:c>
      <x:c r="D216" s="35"/>
      <x:c r="E216" s="35" t="n">
        <x:v>1</x:v>
      </x:c>
    </x:row>
    <x:row r="217">
      <x:c r="A217" s="16" t="str">
        <x:v>Yuanzhe Niu</x:v>
      </x:c>
      <x:c r="B217" s="16"/>
      <x:c r="C217" s="16" t="str">
        <x:v>未从可靠公开中文资料核实；保留WBF英文登记名</x:v>
      </x:c>
      <x:c r="D217" s="16"/>
      <x:c r="E217" s="16" t="n">
        <x:v>1</x:v>
      </x:c>
    </x:row>
    <x:row r="218">
      <x:c r="A218" s="35" t="str">
        <x:v>Yuchen Ye</x:v>
      </x:c>
      <x:c r="B218" s="35"/>
      <x:c r="C218" s="35" t="str">
        <x:v>未从可靠公开中文资料核实；保留WBF英文登记名</x:v>
      </x:c>
      <x:c r="D218" s="35"/>
      <x:c r="E218" s="35" t="n">
        <x:v>1</x:v>
      </x:c>
    </x:row>
    <x:row r="219">
      <x:c r="A219" s="16" t="str">
        <x:v>Yue Yu</x:v>
      </x:c>
      <x:c r="B219" s="16"/>
      <x:c r="C219" s="16" t="str">
        <x:v>未从可靠公开中文资料核实；保留WBF英文登记名</x:v>
      </x:c>
      <x:c r="D219" s="16"/>
      <x:c r="E219" s="16" t="n">
        <x:v>1</x:v>
      </x:c>
    </x:row>
    <x:row r="220">
      <x:c r="A220" s="35" t="str">
        <x:v>Yuegang Kuang</x:v>
      </x:c>
      <x:c r="B220" s="35" t="str">
        <x:v>旷跃纲</x:v>
      </x:c>
      <x:c r="C220" s="35" t="str">
        <x:v>2024国家混合队报道</x:v>
      </x:c>
      <x:c r="D220" s="35" t="str">
        <x:v>https://www.prnasia.com/story/435035-1.shtml</x:v>
      </x:c>
      <x:c r="E220" s="35" t="n">
        <x:v>1</x:v>
      </x:c>
    </x:row>
    <x:row r="221">
      <x:c r="A221" s="16" t="str">
        <x:v>Yuekai Yang</x:v>
      </x:c>
      <x:c r="B221" s="16"/>
      <x:c r="C221" s="16" t="str">
        <x:v>未从可靠公开中文资料核实；保留WBF英文登记名</x:v>
      </x:c>
      <x:c r="D221" s="16"/>
      <x:c r="E221" s="16" t="n">
        <x:v>3</x:v>
      </x:c>
    </x:row>
    <x:row r="222">
      <x:c r="A222" s="35" t="str">
        <x:v>Yueling Gu</x:v>
      </x:c>
      <x:c r="B222" s="35"/>
      <x:c r="C222" s="35" t="str">
        <x:v>未从可靠公开中文资料核实；保留WBF英文登记名</x:v>
      </x:c>
      <x:c r="D222" s="35"/>
      <x:c r="E222" s="35" t="n">
        <x:v>1</x:v>
      </x:c>
    </x:row>
    <x:row r="223">
      <x:c r="A223" s="16" t="str">
        <x:v>Yufan Liao</x:v>
      </x:c>
      <x:c r="B223" s="16"/>
      <x:c r="C223" s="16" t="str">
        <x:v>未从可靠公开中文资料核实；保留WBF英文登记名</x:v>
      </x:c>
      <x:c r="D223" s="16"/>
      <x:c r="E223" s="16" t="n">
        <x:v>2</x:v>
      </x:c>
    </x:row>
    <x:row r="224">
      <x:c r="A224" s="35" t="str">
        <x:v>Yujie Jiang</x:v>
      </x:c>
      <x:c r="B224" s="35"/>
      <x:c r="C224" s="35" t="str">
        <x:v>未从可靠公开中文资料核实；保留WBF英文登记名</x:v>
      </x:c>
      <x:c r="D224" s="35"/>
      <x:c r="E224" s="35" t="n">
        <x:v>2</x:v>
      </x:c>
    </x:row>
    <x:row r="225">
      <x:c r="A225" s="16" t="str">
        <x:v>Yunpeng Chen</x:v>
      </x:c>
      <x:c r="B225" s="16"/>
      <x:c r="C225" s="16" t="str">
        <x:v>未从可靠公开中文资料核实；保留WBF英文登记名</x:v>
      </x:c>
      <x:c r="D225" s="16"/>
      <x:c r="E225" s="16" t="n">
        <x:v>6</x:v>
      </x:c>
    </x:row>
    <x:row r="226">
      <x:c r="A226" s="35" t="str">
        <x:v>Yuran Zhang</x:v>
      </x:c>
      <x:c r="B226" s="35"/>
      <x:c r="C226" s="35" t="str">
        <x:v>未从可靠公开中文资料核实；保留WBF英文登记名</x:v>
      </x:c>
      <x:c r="D226" s="35"/>
      <x:c r="E226" s="35" t="n">
        <x:v>1</x:v>
      </x:c>
    </x:row>
    <x:row r="227">
      <x:c r="A227" s="16" t="str">
        <x:v>Yuxuan Liu</x:v>
      </x:c>
      <x:c r="B227" s="16"/>
      <x:c r="C227" s="16" t="str">
        <x:v>未从可靠公开中文资料核实；保留WBF英文登记名</x:v>
      </x:c>
      <x:c r="D227" s="16"/>
      <x:c r="E227" s="16" t="n">
        <x:v>1</x:v>
      </x:c>
    </x:row>
    <x:row r="228">
      <x:c r="A228" s="35" t="str">
        <x:v>Yuyi Bu</x:v>
      </x:c>
      <x:c r="B228" s="35"/>
      <x:c r="C228" s="35" t="str">
        <x:v>未从可靠公开中文资料核实；保留WBF英文登记名</x:v>
      </x:c>
      <x:c r="D228" s="35"/>
      <x:c r="E228" s="35" t="n">
        <x:v>1</x:v>
      </x:c>
    </x:row>
    <x:row r="229">
      <x:c r="A229" s="16" t="str">
        <x:v>Zanchao Cui</x:v>
      </x:c>
      <x:c r="B229" s="16"/>
      <x:c r="C229" s="16" t="str">
        <x:v>未从可靠公开中文资料核实；保留WBF英文登记名</x:v>
      </x:c>
      <x:c r="D229" s="16"/>
      <x:c r="E229" s="16" t="n">
        <x:v>1</x:v>
      </x:c>
    </x:row>
    <x:row r="230">
      <x:c r="A230" s="35" t="str">
        <x:v>Zejun Zhuang</x:v>
      </x:c>
      <x:c r="B230" s="35"/>
      <x:c r="C230" s="35" t="str">
        <x:v>未从可靠公开中文资料核实；保留WBF英文登记名</x:v>
      </x:c>
      <x:c r="D230" s="35"/>
      <x:c r="E230" s="35" t="n">
        <x:v>4</x:v>
      </x:c>
    </x:row>
    <x:row r="231">
      <x:c r="A231" s="16" t="str">
        <x:v>Zekun Zhu</x:v>
      </x:c>
      <x:c r="B231" s="16"/>
      <x:c r="C231" s="16" t="str">
        <x:v>未从可靠公开中文资料核实；保留WBF英文登记名</x:v>
      </x:c>
      <x:c r="D231" s="16"/>
      <x:c r="E231" s="16" t="n">
        <x:v>1</x:v>
      </x:c>
    </x:row>
    <x:row r="232">
      <x:c r="A232" s="35" t="str">
        <x:v>Zhaochen Yu</x:v>
      </x:c>
      <x:c r="B232" s="35"/>
      <x:c r="C232" s="35" t="str">
        <x:v>未从可靠公开中文资料核实；保留WBF英文登记名</x:v>
      </x:c>
      <x:c r="D232" s="35"/>
      <x:c r="E232" s="35" t="n">
        <x:v>3</x:v>
      </x:c>
    </x:row>
    <x:row r="233">
      <x:c r="A233" s="16" t="str">
        <x:v>Zhaofeng Wang</x:v>
      </x:c>
      <x:c r="B233" s="16"/>
      <x:c r="C233" s="16" t="str">
        <x:v>未从可靠公开中文资料核实；保留WBF英文登记名</x:v>
      </x:c>
      <x:c r="D233" s="16"/>
      <x:c r="E233" s="16" t="n">
        <x:v>1</x:v>
      </x:c>
    </x:row>
    <x:row r="234">
      <x:c r="A234" s="35" t="str">
        <x:v>Zhe Wu</x:v>
      </x:c>
      <x:c r="B234" s="35"/>
      <x:c r="C234" s="35" t="str">
        <x:v>未从可靠公开中文资料核实；保留WBF英文登记名</x:v>
      </x:c>
      <x:c r="D234" s="35"/>
      <x:c r="E234" s="35" t="n">
        <x:v>1</x:v>
      </x:c>
    </x:row>
    <x:row r="235">
      <x:c r="A235" s="16" t="str">
        <x:v>Zhengjiang Liao</x:v>
      </x:c>
      <x:c r="B235" s="16"/>
      <x:c r="C235" s="16" t="str">
        <x:v>未从可靠公开中文资料核实；保留WBF英文登记名</x:v>
      </x:c>
      <x:c r="D235" s="16"/>
      <x:c r="E235" s="16" t="n">
        <x:v>1</x:v>
      </x:c>
    </x:row>
    <x:row r="236">
      <x:c r="A236" s="35" t="str">
        <x:v>Zhengjun Shi</x:v>
      </x:c>
      <x:c r="B236" s="35"/>
      <x:c r="C236" s="35" t="str">
        <x:v>未从可靠公开中文资料核实；保留WBF英文登记名</x:v>
      </x:c>
      <x:c r="D236" s="35"/>
      <x:c r="E236" s="35" t="n">
        <x:v>2</x:v>
      </x:c>
    </x:row>
    <x:row r="237">
      <x:c r="A237" s="16" t="str">
        <x:v>Zhenguo Wu</x:v>
      </x:c>
      <x:c r="B237" s="16"/>
      <x:c r="C237" s="16" t="str">
        <x:v>未从可靠公开中文资料核实；保留WBF英文登记名</x:v>
      </x:c>
      <x:c r="D237" s="16"/>
      <x:c r="E237" s="16" t="n">
        <x:v>1</x:v>
      </x:c>
    </x:row>
    <x:row r="238">
      <x:c r="A238" s="35" t="str">
        <x:v>Zhengyang Fang</x:v>
      </x:c>
      <x:c r="B238" s="35"/>
      <x:c r="C238" s="35" t="str">
        <x:v>未从可靠公开中文资料核实；保留WBF英文登记名</x:v>
      </x:c>
      <x:c r="D238" s="35"/>
      <x:c r="E238" s="35" t="n">
        <x:v>2</x:v>
      </x:c>
    </x:row>
    <x:row r="239">
      <x:c r="A239" s="16" t="str">
        <x:v>Zhenhao Cai</x:v>
      </x:c>
      <x:c r="B239" s="16"/>
      <x:c r="C239" s="16" t="str">
        <x:v>未从可靠公开中文资料核实；保留WBF英文登记名</x:v>
      </x:c>
      <x:c r="D239" s="16"/>
      <x:c r="E239" s="16" t="n">
        <x:v>1</x:v>
      </x:c>
    </x:row>
    <x:row r="240">
      <x:c r="A240" s="35" t="str">
        <x:v>Zhenyue Lu</x:v>
      </x:c>
      <x:c r="B240" s="35"/>
      <x:c r="C240" s="35" t="str">
        <x:v>未从可靠公开中文资料核实；保留WBF英文登记名</x:v>
      </x:c>
      <x:c r="D240" s="35"/>
      <x:c r="E240" s="35" t="n">
        <x:v>1</x:v>
      </x:c>
    </x:row>
    <x:row r="241">
      <x:c r="A241" s="16" t="str">
        <x:v>Zhi Tang</x:v>
      </x:c>
      <x:c r="B241" s="16"/>
      <x:c r="C241" s="16" t="str">
        <x:v>未从可靠公开中文资料核实；保留WBF英文登记名</x:v>
      </x:c>
      <x:c r="D241" s="16"/>
      <x:c r="E241" s="16" t="n">
        <x:v>1</x:v>
      </x:c>
    </x:row>
    <x:row r="242">
      <x:c r="A242" s="35" t="str">
        <x:v>Zhijie Yuan</x:v>
      </x:c>
      <x:c r="B242" s="35"/>
      <x:c r="C242" s="35" t="str">
        <x:v>未从可靠公开中文资料核实；保留WBF英文登记名</x:v>
      </x:c>
      <x:c r="D242" s="35"/>
      <x:c r="E242" s="35" t="n">
        <x:v>3</x:v>
      </x:c>
    </x:row>
    <x:row r="243">
      <x:c r="A243" s="16" t="str">
        <x:v>Zhixian Tian</x:v>
      </x:c>
      <x:c r="B243" s="16"/>
      <x:c r="C243" s="16" t="str">
        <x:v>未从可靠公开中文资料核实；保留WBF英文登记名</x:v>
      </x:c>
      <x:c r="D243" s="16"/>
      <x:c r="E243" s="16" t="n">
        <x:v>1</x:v>
      </x:c>
    </x:row>
    <x:row r="244">
      <x:c r="A244" s="35" t="str">
        <x:v>Zhiyu Cheng</x:v>
      </x:c>
      <x:c r="B244" s="35"/>
      <x:c r="C244" s="35" t="str">
        <x:v>未从可靠公开中文资料核实；保留WBF英文登记名</x:v>
      </x:c>
      <x:c r="D244" s="35"/>
      <x:c r="E244" s="35" t="n">
        <x:v>3</x:v>
      </x:c>
    </x:row>
    <x:row r="245">
      <x:c r="A245" s="16" t="str">
        <x:v>Zhizhou Sha</x:v>
      </x:c>
      <x:c r="B245" s="16"/>
      <x:c r="C245" s="16" t="str">
        <x:v>未从可靠公开中文资料核实；保留WBF英文登记名</x:v>
      </x:c>
      <x:c r="D245" s="16"/>
      <x:c r="E245" s="16" t="n">
        <x:v>1</x:v>
      </x:c>
    </x:row>
    <x:row r="246">
      <x:c r="A246" s="35" t="str">
        <x:v>Zhong Fu</x:v>
      </x:c>
      <x:c r="B246" s="35" t="str">
        <x:v>福中</x:v>
      </x:c>
      <x:c r="C246" s="35" t="str">
        <x:v>新闻资料一致（部分媒体写作“傅中”，WBF仅存拼音）</x:v>
      </x:c>
      <x:c r="D246" s="35" t="str">
        <x:v>https://news.sina.cn/sa/2006-07-02/detail-ikftssap2657445.d.html</x:v>
      </x:c>
      <x:c r="E246" s="35" t="n">
        <x:v>3</x:v>
      </x:c>
    </x:row>
    <x:row r="247">
      <x:c r="A247" s="16" t="str">
        <x:v>Zhuxiongjie Gao</x:v>
      </x:c>
      <x:c r="B247" s="16"/>
      <x:c r="C247" s="16" t="str">
        <x:v>未从可靠公开中文资料核实；保留WBF英文登记名</x:v>
      </x:c>
      <x:c r="D247" s="16"/>
      <x:c r="E247" s="16" t="n">
        <x:v>1</x:v>
      </x:c>
    </x:row>
    <x:row r="248">
      <x:c r="A248" s="35" t="str">
        <x:v>Zi Jian Shao</x:v>
      </x:c>
      <x:c r="B248" s="35"/>
      <x:c r="C248" s="35" t="str">
        <x:v>未从可靠公开中文资料核实；保留WBF英文登记名</x:v>
      </x:c>
      <x:c r="D248" s="35"/>
      <x:c r="E248" s="35" t="n">
        <x:v>1</x:v>
      </x:c>
    </x:row>
    <x:row r="249">
      <x:c r="A249" s="16" t="str">
        <x:v>Zian Wang</x:v>
      </x:c>
      <x:c r="B249" s="16"/>
      <x:c r="C249" s="16" t="str">
        <x:v>未从可靠公开中文资料核实；保留WBF英文登记名</x:v>
      </x:c>
      <x:c r="D249" s="16"/>
      <x:c r="E249" s="16" t="n">
        <x:v>2</x:v>
      </x:c>
    </x:row>
    <x:row r="250">
      <x:c r="A250" s="35" t="str">
        <x:v>Ziao Wang</x:v>
      </x:c>
      <x:c r="B250" s="35"/>
      <x:c r="C250" s="35" t="str">
        <x:v>未从可靠公开中文资料核实；保留WBF英文登记名</x:v>
      </x:c>
      <x:c r="D250" s="35"/>
      <x:c r="E250" s="35" t="n">
        <x:v>2</x:v>
      </x:c>
    </x:row>
    <x:row r="251">
      <x:c r="A251" s="16" t="str">
        <x:v>Zichen Wang</x:v>
      </x:c>
      <x:c r="B251" s="16"/>
      <x:c r="C251" s="16" t="str">
        <x:v>未从可靠公开中文资料核实；保留WBF英文登记名</x:v>
      </x:c>
      <x:c r="D251" s="16"/>
      <x:c r="E251" s="16" t="n">
        <x:v>1</x:v>
      </x:c>
    </x:row>
    <x:row r="252">
      <x:c r="A252" s="35" t="str">
        <x:v>Zicheng Wang</x:v>
      </x:c>
      <x:c r="B252" s="35"/>
      <x:c r="C252" s="35" t="str">
        <x:v>未从可靠公开中文资料核实；保留WBF英文登记名</x:v>
      </x:c>
      <x:c r="D252" s="35"/>
      <x:c r="E252" s="35" t="n">
        <x:v>1</x:v>
      </x:c>
    </x:row>
    <x:row r="253">
      <x:c r="A253" s="16" t="str">
        <x:v>Zihan Wang</x:v>
      </x:c>
      <x:c r="B253" s="16"/>
      <x:c r="C253" s="16" t="str">
        <x:v>未从可靠公开中文资料核实；保留WBF英文登记名</x:v>
      </x:c>
      <x:c r="D253" s="16"/>
      <x:c r="E253" s="16" t="n">
        <x:v>2</x:v>
      </x:c>
    </x:row>
    <x:row r="254">
      <x:c r="A254" s="35" t="str">
        <x:v>Zijian Shao</x:v>
      </x:c>
      <x:c r="B254" s="35"/>
      <x:c r="C254" s="35" t="str">
        <x:v>未从可靠公开中文资料核实；保留WBF英文登记名</x:v>
      </x:c>
      <x:c r="D254" s="35"/>
      <x:c r="E254" s="35" t="n">
        <x:v>1</x:v>
      </x:c>
    </x:row>
    <x:row r="255">
      <x:c r="A255" s="16" t="str">
        <x:v>Zimo Chen</x:v>
      </x:c>
      <x:c r="B255" s="16"/>
      <x:c r="C255" s="16" t="str">
        <x:v>未从可靠公开中文资料核实；保留WBF英文登记名</x:v>
      </x:c>
      <x:c r="D255" s="16"/>
      <x:c r="E255" s="16" t="n">
        <x:v>1</x:v>
      </x:c>
    </x:row>
    <x:row r="256">
      <x:c r="A256" s="35" t="str">
        <x:v>Ziqi Zhang</x:v>
      </x:c>
      <x:c r="B256" s="35" t="str"/>
      <x:c r="C256" s="35" t="str">
        <x:v>未从可靠公开中文资料核实；最佳猜测与歧义见“中文姓名推断依据”</x:v>
      </x:c>
      <x:c r="D256" s="35" t="str"/>
      <x:c r="E256" s="35" t="n">
        <x:v>1</x:v>
      </x:c>
    </x:row>
    <x:row r="257">
      <x:c r="A257" s="16" t="str">
        <x:v>Zisu Lin</x:v>
      </x:c>
      <x:c r="B257" s="16"/>
      <x:c r="C257" s="16" t="str">
        <x:v>未从可靠公开中文资料核实；保留WBF英文登记名</x:v>
      </x:c>
      <x:c r="D257" s="16"/>
      <x:c r="E257" s="16" t="n">
        <x:v>1</x:v>
      </x:c>
    </x:row>
    <x:row r="258">
      <x:c r="A258" s="35" t="str">
        <x:v>Ziwen Zhao</x:v>
      </x:c>
      <x:c r="B258" s="35"/>
      <x:c r="C258" s="35" t="str">
        <x:v>未从可靠公开中文资料核实；保留WBF英文登记名</x:v>
      </x:c>
      <x:c r="D258" s="35"/>
      <x:c r="E258" s="35" t="n">
        <x:v>1</x:v>
      </x:c>
    </x:row>
    <x:row r="259">
      <x:c r="A259" s="16" t="str">
        <x:v>Zixi Cai</x:v>
      </x:c>
      <x:c r="B259" s="16"/>
      <x:c r="C259" s="16" t="str">
        <x:v>未从可靠公开中文资料核实；保留WBF英文登记名</x:v>
      </x:c>
      <x:c r="D259" s="16"/>
      <x:c r="E259" s="16" t="n">
        <x:v>1</x:v>
      </x:c>
    </x:row>
    <x:row r="260">
      <x:c r="A260" s="35" t="str">
        <x:v>Zixuan Yuan</x:v>
      </x:c>
      <x:c r="B260" s="35"/>
      <x:c r="C260" s="35" t="str">
        <x:v>未从可靠公开中文资料核实；保留WBF英文登记名</x:v>
      </x:c>
      <x:c r="D260" s="35"/>
      <x:c r="E260" s="35" t="n">
        <x:v>2</x:v>
      </x:c>
    </x:row>
    <x:row r="261">
      <x:c r="A261" s="16" t="str">
        <x:v>Ziyu Li</x:v>
      </x:c>
      <x:c r="B261" s="16"/>
      <x:c r="C261" s="16" t="str">
        <x:v>未从可靠公开中文资料核实；保留WBF英文登记名</x:v>
      </x:c>
      <x:c r="D261" s="16"/>
      <x:c r="E261" s="16" t="n">
        <x:v>1</x:v>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18" hidden="0" customWidth="1"/>
    <x:col min="4" max="4" width="9" hidden="0" customWidth="1"/>
    <x:col min="5" max="5" width="9" hidden="0" customWidth="1"/>
    <x:col min="6" max="6" width="9" hidden="0" customWidth="1"/>
    <x:col min="7" max="7" width="9" hidden="0" customWidth="1"/>
    <x:col min="8" max="8" width="62" hidden="0" customWidth="1"/>
    <x:col min="9" max="9" width="62" hidden="0" customWidth="1"/>
    <x:col min="10" max="10" width="62" hidden="0" customWidth="1"/>
  </x:cols>
  <x:sheetData>
    <x:row r="1" ht="30" customHeight="1">
      <x:c r="A1" s="39" t="str">
        <x:v>中国（CHN）选手个人奖牌榜</x:v>
      </x:c>
      <x:c r="B1" s="39"/>
      <x:c r="C1" s="39"/>
      <x:c r="D1" s="39"/>
      <x:c r="E1" s="39"/>
      <x:c r="F1" s="39"/>
      <x:c r="G1" s="39"/>
      <x:c r="H1" s="39"/>
      <x:c r="I1" s="39"/>
      <x:c r="J1" s="39"/>
    </x:row>
    <x:row r="2" ht="48" customHeight="1">
      <x:c r="A2" s="31" t="str">
        <x:v>仅按可逐项对应到阵容的奖牌排序；WBF官方累计表中未拆分的1银、5铜不分配给个人，因此个人榜合计不会被强行凑到官方国家总数。</x:v>
      </x:c>
      <x:c r="B2" s="31"/>
      <x:c r="C2" s="31"/>
      <x:c r="D2" s="31"/>
      <x:c r="E2" s="31"/>
      <x:c r="F2" s="31"/>
      <x:c r="G2" s="31"/>
      <x:c r="H2" s="31"/>
      <x:c r="I2" s="31"/>
      <x:c r="J2" s="31"/>
    </x:row>
    <x:row r="4">
      <x:c r="A4" s="46" t="str">
        <x:v>排名</x:v>
      </x:c>
      <x:c r="B4" s="46" t="str">
        <x:v>WBF英文姓名</x:v>
      </x:c>
      <x:c r="C4" s="46" t="str">
        <x:v>已核实中文姓名</x:v>
      </x:c>
      <x:c r="D4" s="46" t="str">
        <x:v>金牌</x:v>
      </x:c>
      <x:c r="E4" s="46" t="str">
        <x:v>银牌</x:v>
      </x:c>
      <x:c r="F4" s="46" t="str">
        <x:v>铜牌</x:v>
      </x:c>
      <x:c r="G4" s="46" t="str">
        <x:v>总计</x:v>
      </x:c>
      <x:c r="H4" s="46" t="str">
        <x:v>金牌项目明细</x:v>
      </x:c>
      <x:c r="I4" s="46" t="str">
        <x:v>银牌项目明细</x:v>
      </x:c>
      <x:c r="J4" s="46" t="str">
        <x:v>铜牌项目明细</x:v>
      </x:c>
    </x:row>
    <x:row r="5">
      <x:c r="A5" s="17" t="n">
        <x:v>1</x:v>
      </x:c>
      <x:c r="B5" s="17" t="str">
        <x:v>Wen Fei Wang</x:v>
      </x:c>
      <x:c r="C5" s="17" t="str">
        <x:v>王文霏</x:v>
      </x:c>
      <x:c r="D5" s="17" t="n">
        <x:v>2</x:v>
      </x:c>
      <x:c r="E5" s="17" t="n">
        <x:v>7</x:v>
      </x:c>
      <x:c r="F5" s="17" t="n">
        <x:v>4</x:v>
      </x:c>
      <x:c r="G5" s="17" t="n">
        <x:v>13</x:v>
      </x:c>
      <x:c r="H5" s="16" t="str">
        <x:v>2009-08-29—2009-09-12｜世界桥牌团体锦标赛｜Venice Cup 女子团体｜CHINA LONG ZHU
2017｜世界桥牌团体锦标赛｜Venice Cup 女子团体｜CHINA</x:v>
      </x:c>
      <x:c r="I5" s="16" t="str">
        <x:v>1996｜世界桥牌团体奥林匹克赛｜女子团体｜CHINA
1997｜世界桥牌团体锦标赛｜Venice Cup 女子团体｜CHINA
2003｜世界桥牌团体锦标赛｜Venice Cup 女子团体｜CHINA
2006-06｜世界桥牌综合锦标赛｜Women Pairs 女子双人｜Hongli Wang – Wen Fei Wang
2008-10-03—2008-10-18｜第1届世界智力运动会 / 世界桥牌运动会｜Women Teams 女子团体｜CHINA
2014-10｜世界桥牌综合锦标赛｜Women Teams 女子团体｜CHINA
2019-09｜世界桥牌团体锦标赛｜Venice Cup 女子团体｜CHINA</x:v>
      </x:c>
      <x:c r="J5" s="16" t="str">
        <x:v>2007｜世界桥牌团体锦标赛｜Venice Cup 女子团体｜CHINA
2012｜世界桥牌运动会｜Transnational Mixed Teams 跨国混合团体｜CHINA
2014-10｜世界桥牌综合锦标赛｜Mixed Teams 混合团体｜CHINA
2016｜世界桥牌运动会｜World National Women Teams 女子国家团体｜CHINA</x:v>
      </x:c>
    </x:row>
    <x:row r="6">
      <x:c r="A6" s="36" t="n">
        <x:v>2</x:v>
      </x:c>
      <x:c r="B6" s="36" t="str">
        <x:v>Hongli Wang</x:v>
      </x:c>
      <x:c r="C6" s="36" t="str">
        <x:v>王宏利</x:v>
      </x:c>
      <x:c r="D6" s="36" t="n">
        <x:v>2</x:v>
      </x:c>
      <x:c r="E6" s="36" t="n">
        <x:v>6</x:v>
      </x:c>
      <x:c r="F6" s="36" t="n">
        <x:v>1</x:v>
      </x:c>
      <x:c r="G6" s="36" t="n">
        <x:v>9</x:v>
      </x:c>
      <x:c r="H6" s="35" t="str">
        <x:v>2009-08-29—2009-09-12｜世界桥牌团体锦标赛｜Venice Cup 女子团体｜CHINA LONG ZHU
2010-10｜世界桥牌综合锦标赛｜McConnell Cup 女子淘汰团体｜CHINA LADIES TEAM</x:v>
      </x:c>
      <x:c r="I6" s="35" t="str">
        <x:v>1996｜世界桥牌团体奥林匹克赛｜女子团体｜CHINA
2003｜世界桥牌团体锦标赛｜Venice Cup 女子团体｜CHINA
2006-06｜世界桥牌综合锦标赛｜Women Pairs 女子双人｜Hongli Wang – Wen Fei Wang
2008-10-03—2008-10-18｜第1届世界智力运动会 / 世界桥牌运动会｜Women Teams 女子团体｜CHINA
2014-10｜世界桥牌综合锦标赛｜Mixed Teams 混合团体｜CHINA
2014-10｜世界桥牌综合锦标赛｜Women Teams 女子团体｜CHINA</x:v>
      </x:c>
      <x:c r="J6" s="35" t="str">
        <x:v>2007｜世界桥牌团体锦标赛｜Venice Cup 女子团体｜CHINA</x:v>
      </x:c>
    </x:row>
    <x:row r="7">
      <x:c r="A7" s="17" t="n">
        <x:v>3</x:v>
      </x:c>
      <x:c r="B7" s="17" t="str">
        <x:v>Yan Lu</x:v>
      </x:c>
      <x:c r="C7" s="17" t="str">
        <x:v>卢燕</x:v>
      </x:c>
      <x:c r="D7" s="17" t="n">
        <x:v>2</x:v>
      </x:c>
      <x:c r="E7" s="17" t="n">
        <x:v>5</x:v>
      </x:c>
      <x:c r="F7" s="17" t="n">
        <x:v>2</x:v>
      </x:c>
      <x:c r="G7" s="17" t="n">
        <x:v>9</x:v>
      </x:c>
      <x:c r="H7" s="16" t="str">
        <x:v>2010-10｜世界桥牌综合锦标赛｜McConnell Cup 女子淘汰团体｜CHINA LADIES TEAM
2017｜世界桥牌团体锦标赛｜Venice Cup 女子团体｜CHINA</x:v>
      </x:c>
      <x:c r="I7" s="16" t="str">
        <x:v>1997｜世界桥牌团体锦标赛｜Venice Cup 女子团体｜CHINA
2014-10｜世界桥牌综合锦标赛｜Women Teams 女子团体｜CHINA
2019-09｜世界桥牌团体锦标赛｜Venice Cup 女子团体｜CHINA
2024-10-22—2024-11-03｜第16届世界桥牌运动会｜Mixed Teams 混合团体｜CHINA
2025-08-20—2025-08-31｜第47届世界桥牌团体锦标赛｜Wuhan Cup 混合团体｜CHINA</x:v>
      </x:c>
      <x:c r="J7" s="16" t="str">
        <x:v>2004｜世界桥牌奥林匹克赛｜Transnational Mixed Teams 跨国混合团体｜CHINA
2016｜世界桥牌运动会｜World National Women Teams 女子国家团体｜CHINA</x:v>
      </x:c>
    </x:row>
    <x:row r="8">
      <x:c r="A8" s="36" t="n">
        <x:v>4</x:v>
      </x:c>
      <x:c r="B8" s="36" t="str">
        <x:v>Ming Sun</x:v>
      </x:c>
      <x:c r="C8" s="36" t="str">
        <x:v>孙铭</x:v>
      </x:c>
      <x:c r="D8" s="36" t="n">
        <x:v>2</x:v>
      </x:c>
      <x:c r="E8" s="36" t="n">
        <x:v>4</x:v>
      </x:c>
      <x:c r="F8" s="36" t="n">
        <x:v>3</x:v>
      </x:c>
      <x:c r="G8" s="36" t="n">
        <x:v>9</x:v>
      </x:c>
      <x:c r="H8" s="35" t="str">
        <x:v>2009-08-29—2009-09-12｜世界桥牌团体锦标赛｜Venice Cup 女子团体｜CHINA LONG ZHU
2010-10｜世界桥牌综合锦标赛｜McConnell Cup 女子淘汰团体｜CHINA LADIES TEAM</x:v>
      </x:c>
      <x:c r="I8" s="35" t="str">
        <x:v>1996｜世界桥牌团体奥林匹克赛｜女子团体｜CHINA
1997｜世界桥牌团体锦标赛｜Venice Cup 女子团体｜CHINA
2008-10-03—2008-10-18｜第1届世界智力运动会 / 世界桥牌运动会｜Women Teams 女子团体｜CHINA
2018｜世界桥牌综合锦标赛｜World Senior Teams 老年团体｜CHINA</x:v>
      </x:c>
      <x:c r="J8" s="35" t="str">
        <x:v>1991｜世界桥牌团体锦标赛｜Venice Cup 女子团体｜CHINA
2004｜世界桥牌奥林匹克赛｜Transnational Mixed Teams 跨国混合团体｜CHINA
2007｜世界桥牌团体锦标赛｜Venice Cup 女子团体｜CHINA</x:v>
      </x:c>
    </x:row>
    <x:row r="9">
      <x:c r="A9" s="17" t="n">
        <x:v>5</x:v>
      </x:c>
      <x:c r="B9" s="17" t="str">
        <x:v>Yizhou Liu</x:v>
      </x:c>
      <x:c r="C9" s="17" t="str"/>
      <x:c r="D9" s="17" t="n">
        <x:v>2</x:v>
      </x:c>
      <x:c r="E9" s="17" t="n">
        <x:v>2</x:v>
      </x:c>
      <x:c r="F9" s="17" t="n">
        <x:v>0</x:v>
      </x:c>
      <x:c r="G9" s="17" t="n">
        <x:v>4</x:v>
      </x:c>
      <x:c r="H9" s="16" t="str">
        <x:v>2017-08-15—2017-08-24｜第5届世界青年公开锦标赛｜U16 BAM｜SHENGXING VENUS
2017-08-15—2017-08-24｜第5届世界青年公开锦标赛｜U16 Pairs / Kids Pairs｜Yizhou Liu – Mingyu Lu</x:v>
      </x:c>
      <x:c r="I9" s="16" t="str">
        <x:v>2016-08-03—2016-08-13｜世界青年团体锦标赛｜U16 Teams｜CHINA2
2017-08-15—2017-08-24｜第5届世界青年公开锦标赛｜U16 Teams / Kids Teams｜SHENGXING VENUS</x:v>
      </x:c>
      <x:c r="J9" s="16" t="str"/>
    </x:row>
    <x:row r="10">
      <x:c r="A10" s="36" t="n">
        <x:v>6</x:v>
      </x:c>
      <x:c r="B10" s="36" t="str">
        <x:v>Hongji Wei</x:v>
      </x:c>
      <x:c r="C10" s="36" t="str"/>
      <x:c r="D10" s="36" t="n">
        <x:v>2</x:v>
      </x:c>
      <x:c r="E10" s="36" t="n">
        <x:v>1</x:v>
      </x:c>
      <x:c r="F10" s="36" t="n">
        <x:v>1</x:v>
      </x:c>
      <x:c r="G10" s="36" t="n">
        <x:v>4</x:v>
      </x:c>
      <x:c r="H10" s="35" t="str">
        <x:v>2015-08-20—2015-08-29｜第4届世界青年公开锦标赛｜U21 Pairs｜Hongji Wei – Shiyu Sun
2015-08-20—2015-08-29｜第4届世界青年公开锦标赛｜U21 Teams / Youngsters Teams｜CHINA</x:v>
      </x:c>
      <x:c r="I10" s="35" t="str">
        <x:v>2016-08-03—2016-08-13｜世界青年团体锦标赛｜U26 Teams｜CHINA</x:v>
      </x:c>
      <x:c r="J10" s="35" t="str">
        <x:v>2019-08-20—2019-08-29｜第6届世界青年公开锦标赛｜U26 Pairs｜Hongji Wei – Shiyu Sun</x:v>
      </x:c>
    </x:row>
    <x:row r="11">
      <x:c r="A11" s="17" t="n">
        <x:v>6</x:v>
      </x:c>
      <x:c r="B11" s="17" t="str">
        <x:v>Jie Zhao</x:v>
      </x:c>
      <x:c r="C11" s="17" t="str">
        <x:v>赵杰</x:v>
      </x:c>
      <x:c r="D11" s="17" t="n">
        <x:v>2</x:v>
      </x:c>
      <x:c r="E11" s="17" t="n">
        <x:v>1</x:v>
      </x:c>
      <x:c r="F11" s="17" t="n">
        <x:v>1</x:v>
      </x:c>
      <x:c r="G11" s="17" t="n">
        <x:v>4</x:v>
      </x:c>
      <x:c r="H11" s="16" t="str">
        <x:v>2006-06｜世界桥牌综合锦标赛｜Open Pairs 公开双人｜Zhong Fu – Jie Zhao
2014-10｜世界桥牌综合锦标赛｜Mixed Pairs 混合双人｜Jie Zhao – Kerri Sanborn</x:v>
      </x:c>
      <x:c r="I11" s="16" t="str">
        <x:v>2003｜世界桥牌团体锦标赛｜Transnational Open Teams 跨国公开团体｜CHINA</x:v>
      </x:c>
      <x:c r="J11" s="16" t="str">
        <x:v>2019-09｜世界桥牌团体锦标赛｜Transnational Open Teams 跨国公开团体｜CHINA</x:v>
      </x:c>
    </x:row>
    <x:row r="12">
      <x:c r="A12" s="36" t="n">
        <x:v>6</x:v>
      </x:c>
      <x:c r="B12" s="36" t="str">
        <x:v>Shiyu Sun</x:v>
      </x:c>
      <x:c r="C12" s="36" t="str"/>
      <x:c r="D12" s="36" t="n">
        <x:v>2</x:v>
      </x:c>
      <x:c r="E12" s="36" t="n">
        <x:v>1</x:v>
      </x:c>
      <x:c r="F12" s="36" t="n">
        <x:v>1</x:v>
      </x:c>
      <x:c r="G12" s="36" t="n">
        <x:v>4</x:v>
      </x:c>
      <x:c r="H12" s="35" t="str">
        <x:v>2015-08-20—2015-08-29｜第4届世界青年公开锦标赛｜U21 Pairs｜Hongji Wei – Shiyu Sun
2015-08-20—2015-08-29｜第4届世界青年公开锦标赛｜U21 Teams / Youngsters Teams｜CHINA</x:v>
      </x:c>
      <x:c r="I12" s="35" t="str">
        <x:v>2016-08-03—2016-08-13｜世界青年团体锦标赛｜U26 Teams｜CHINA</x:v>
      </x:c>
      <x:c r="J12" s="35" t="str">
        <x:v>2019-08-20—2019-08-29｜第6届世界青年公开锦标赛｜U26 Pairs｜Hongji Wei – Shiyu Sun</x:v>
      </x:c>
    </x:row>
    <x:row r="13">
      <x:c r="A13" s="17" t="n">
        <x:v>9</x:v>
      </x:c>
      <x:c r="B13" s="17" t="str">
        <x:v>Mingyu Lu</x:v>
      </x:c>
      <x:c r="C13" s="17" t="str"/>
      <x:c r="D13" s="17" t="n">
        <x:v>2</x:v>
      </x:c>
      <x:c r="E13" s="17" t="n">
        <x:v>1</x:v>
      </x:c>
      <x:c r="F13" s="17" t="n">
        <x:v>0</x:v>
      </x:c>
      <x:c r="G13" s="17" t="n">
        <x:v>3</x:v>
      </x:c>
      <x:c r="H13" s="16" t="str">
        <x:v>2017-08-15—2017-08-24｜第5届世界青年公开锦标赛｜U16 BAM｜SHENGXING VENUS
2017-08-15—2017-08-24｜第5届世界青年公开锦标赛｜U16 Pairs / Kids Pairs｜Yizhou Liu – Mingyu Lu</x:v>
      </x:c>
      <x:c r="I13" s="16" t="str">
        <x:v>2017-08-15—2017-08-24｜第5届世界青年公开锦标赛｜U16 Teams / Kids Teams｜SHENGXING VENUS</x:v>
      </x:c>
      <x:c r="J13" s="16" t="str"/>
    </x:row>
    <x:row r="14">
      <x:c r="A14" s="36" t="n">
        <x:v>9</x:v>
      </x:c>
      <x:c r="B14" s="36" t="str">
        <x:v>Tianle Yao</x:v>
      </x:c>
      <x:c r="C14" s="36" t="str"/>
      <x:c r="D14" s="36" t="n">
        <x:v>2</x:v>
      </x:c>
      <x:c r="E14" s="36" t="n">
        <x:v>1</x:v>
      </x:c>
      <x:c r="F14" s="36" t="n">
        <x:v>0</x:v>
      </x:c>
      <x:c r="G14" s="36" t="n">
        <x:v>3</x:v>
      </x:c>
      <x:c r="H14" s="35" t="str">
        <x:v>2015-08-20—2015-08-29｜第4届世界青年公开锦标赛｜U16 Teams / Kids Teams｜SX HYSW
2017-08-15—2017-08-24｜第5届世界青年公开锦标赛｜U16 BAM｜SHENGXING VENUS</x:v>
      </x:c>
      <x:c r="I14" s="35" t="str">
        <x:v>2017-08-15—2017-08-24｜第5届世界青年公开锦标赛｜U16 Teams / Kids Teams｜SHENGXING VENUS</x:v>
      </x:c>
      <x:c r="J14" s="35" t="str"/>
    </x:row>
    <x:row r="15">
      <x:c r="A15" s="17" t="n">
        <x:v>9</x:v>
      </x:c>
      <x:c r="B15" s="17" t="str">
        <x:v>Xinhao Wu</x:v>
      </x:c>
      <x:c r="C15" s="17" t="str"/>
      <x:c r="D15" s="17" t="n">
        <x:v>2</x:v>
      </x:c>
      <x:c r="E15" s="17" t="n">
        <x:v>1</x:v>
      </x:c>
      <x:c r="F15" s="17" t="n">
        <x:v>0</x:v>
      </x:c>
      <x:c r="G15" s="17" t="n">
        <x:v>3</x:v>
      </x:c>
      <x:c r="H15" s="16" t="str">
        <x:v>2025-07-12—2025-07-17｜第19届世界青年团体锦标赛｜U16 BAM｜CHINA
2026-08-03—2026-08-08｜第9届世界青年跨国锦标赛｜U16 Teams｜NT TTAOQI</x:v>
      </x:c>
      <x:c r="I15" s="16" t="str">
        <x:v>2026-08-03—2026-08-08｜第9届世界青年跨国锦标赛｜U16 Pairs｜Xinhao Wu – Yezhen Ji</x:v>
      </x:c>
      <x:c r="J15" s="16" t="str"/>
    </x:row>
    <x:row r="16">
      <x:c r="A16" s="36" t="n">
        <x:v>12</x:v>
      </x:c>
      <x:c r="B16" s="36" t="str">
        <x:v>Ling Gu</x:v>
      </x:c>
      <x:c r="C16" s="36" t="str"/>
      <x:c r="D16" s="36" t="n">
        <x:v>1</x:v>
      </x:c>
      <x:c r="E16" s="36" t="n">
        <x:v>4</x:v>
      </x:c>
      <x:c r="F16" s="36" t="n">
        <x:v>3</x:v>
      </x:c>
      <x:c r="G16" s="36" t="n">
        <x:v>8</x:v>
      </x:c>
      <x:c r="H16" s="35" t="str">
        <x:v>2010-10｜世界桥牌综合锦标赛｜McConnell Cup 女子淘汰团体｜CHINA LADIES TEAM</x:v>
      </x:c>
      <x:c r="I16" s="35" t="str">
        <x:v>1996｜世界桥牌团体奥林匹克赛｜女子团体｜CHINA
1997｜世界桥牌团体锦标赛｜Venice Cup 女子团体｜CHINA
2003｜世界桥牌团体锦标赛｜Venice Cup 女子团体｜CHINA
2008-10-03—2008-10-18｜第1届世界智力运动会 / 世界桥牌运动会｜Women Teams 女子团体｜CHINA</x:v>
      </x:c>
      <x:c r="J16" s="35" t="str">
        <x:v>1991｜世界桥牌团体锦标赛｜Venice Cup 女子团体｜CHINA
2007｜世界桥牌团体锦标赛｜Venice Cup 女子团体｜CHINA
2016｜世界桥牌运动会｜World National Women Pairs 女子国家双人｜Ling Gu – Tao Zhou</x:v>
      </x:c>
    </x:row>
    <x:row r="17">
      <x:c r="A17" s="17" t="n">
        <x:v>13</x:v>
      </x:c>
      <x:c r="B17" s="17" t="str">
        <x:v>Yunpeng Chen</x:v>
      </x:c>
      <x:c r="C17" s="17" t="str"/>
      <x:c r="D17" s="17" t="n">
        <x:v>1</x:v>
      </x:c>
      <x:c r="E17" s="17" t="n">
        <x:v>4</x:v>
      </x:c>
      <x:c r="F17" s="17" t="n">
        <x:v>1</x:v>
      </x:c>
      <x:c r="G17" s="17" t="n">
        <x:v>6</x:v>
      </x:c>
      <x:c r="H17" s="16" t="str">
        <x:v>2017-08-15—2017-08-24｜第5届世界青年公开锦标赛｜U26 Women Teams / Girls Teams｜SHENGXING TEAM 1</x:v>
      </x:c>
      <x:c r="I17" s="16" t="str">
        <x:v>2015-08-20—2015-08-29｜第4届世界青年公开锦标赛｜U26 Women Teams / Girls Teams｜SX XHLD
2016-08-03—2016-08-13｜世界青年团体锦标赛｜U16 Teams｜CHINA2
2017-08-15—2017-08-24｜第5届世界青年公开锦标赛｜U26 Women Pairs / Girls Pairs｜Yunpeng Chen – Jiaming Xu
2019-08-20—2019-08-29｜第6届世界青年公开锦标赛｜U26 Women Teams｜SXPEONY</x:v>
      </x:c>
      <x:c r="J17" s="16" t="str">
        <x:v>2025-07-12—2025-07-17｜第19届世界青年团体锦标赛｜U26 Women Teams｜CHINA</x:v>
      </x:c>
    </x:row>
    <x:row r="18">
      <x:c r="A18" s="36" t="n">
        <x:v>14</x:v>
      </x:c>
      <x:c r="B18" s="36" t="str">
        <x:v>Baozhuo Jiang</x:v>
      </x:c>
      <x:c r="C18" s="36" t="str"/>
      <x:c r="D18" s="36" t="n">
        <x:v>1</x:v>
      </x:c>
      <x:c r="E18" s="36" t="n">
        <x:v>3</x:v>
      </x:c>
      <x:c r="F18" s="36" t="n">
        <x:v>2</x:v>
      </x:c>
      <x:c r="G18" s="36" t="n">
        <x:v>6</x:v>
      </x:c>
      <x:c r="H18" s="35" t="str">
        <x:v>2026-08-03—2026-08-08｜第9届世界青年跨国锦标赛｜U26 Pairs｜Baozhuo Jiang – Brian Zhang</x:v>
      </x:c>
      <x:c r="I18" s="35" t="str">
        <x:v>2015-08-20—2015-08-29｜第4届世界青年公开锦标赛｜U16 Teams / Kids Teams｜CHINA RDFZ1
2018-08-08—2018-08-18｜世界青年团体锦标赛｜Youth BAM｜CHINA YOUNGSTERS
2026-08-03—2026-08-08｜第9届世界青年跨国锦标赛｜U26 Teams｜REIGNWOOD JUNIORS</x:v>
      </x:c>
      <x:c r="J18" s="35" t="str">
        <x:v>2014-08-13—2014-08-23｜世界青年团体锦标赛｜U16 Teams｜CHINA
2017-08-15—2017-08-24｜第5届世界青年公开锦标赛｜U21 Teams / Youngsters Teams｜CHINA</x:v>
      </x:c>
    </x:row>
    <x:row r="19">
      <x:c r="A19" s="17" t="n">
        <x:v>14</x:v>
      </x:c>
      <x:c r="B19" s="17" t="str">
        <x:v>Xinyao Ruan</x:v>
      </x:c>
      <x:c r="C19" s="17" t="str"/>
      <x:c r="D19" s="17" t="n">
        <x:v>1</x:v>
      </x:c>
      <x:c r="E19" s="17" t="n">
        <x:v>3</x:v>
      </x:c>
      <x:c r="F19" s="17" t="n">
        <x:v>2</x:v>
      </x:c>
      <x:c r="G19" s="17" t="n">
        <x:v>6</x:v>
      </x:c>
      <x:c r="H19" s="16" t="str">
        <x:v>2017-08-15—2017-08-24｜第5届世界青年公开锦标赛｜U26 Women Teams / Girls Teams｜SHENGXING TEAM 1</x:v>
      </x:c>
      <x:c r="I19" s="16" t="str">
        <x:v>2015-08-20—2015-08-29｜第4届世界青年公开锦标赛｜U26 Women Teams / Girls Teams｜SX XHLD
2016-08-03—2016-08-13｜世界青年团体锦标赛｜U16 Teams｜CHINA2
2019-08-20—2019-08-29｜第6届世界青年公开锦标赛｜U26 Women Teams｜SXPEONY</x:v>
      </x:c>
      <x:c r="J19" s="16" t="str">
        <x:v>2017-08-15—2017-08-24｜第5届世界青年公开锦标赛｜U26 Women Pairs / Girls Pairs｜Xinyao Ruan – Yajie Lu
2025-07-12—2025-07-17｜第19届世界青年团体锦标赛｜U26 Women Teams｜CHINA</x:v>
      </x:c>
    </x:row>
    <x:row r="20">
      <x:c r="A20" s="36" t="n">
        <x:v>16</x:v>
      </x:c>
      <x:c r="B20" s="36" t="str">
        <x:v>Bo Fu</x:v>
      </x:c>
      <x:c r="C20" s="36" t="str">
        <x:v>傅博</x:v>
      </x:c>
      <x:c r="D20" s="36" t="n">
        <x:v>1</x:v>
      </x:c>
      <x:c r="E20" s="36" t="n">
        <x:v>3</x:v>
      </x:c>
      <x:c r="F20" s="36" t="n">
        <x:v>0</x:v>
      </x:c>
      <x:c r="G20" s="36" t="n">
        <x:v>4</x:v>
      </x:c>
      <x:c r="H20" s="35" t="str">
        <x:v>2018-08-08—2018-08-18｜世界青年团体锦标赛｜U26 Women Teams｜CHINA</x:v>
      </x:c>
      <x:c r="I20" s="35" t="str">
        <x:v>2014-08-13—2014-08-23｜世界青年团体锦标赛｜U26 Women Teams｜CHINA
2024-10-22—2024-11-03｜第16届世界桥牌运动会｜Mixed Teams 混合团体｜CHINA
2025-08-20—2025-08-31｜第47届世界桥牌团体锦标赛｜Wuhan Cup 混合团体｜CHINA</x:v>
      </x:c>
      <x:c r="J20" s="35" t="str"/>
    </x:row>
    <x:row r="21">
      <x:c r="A21" s="17" t="n">
        <x:v>17</x:v>
      </x:c>
      <x:c r="B21" s="17" t="str">
        <x:v>Yi Qian Liu</x:v>
      </x:c>
      <x:c r="C21" s="17" t="str">
        <x:v>刘逸倩</x:v>
      </x:c>
      <x:c r="D21" s="17" t="n">
        <x:v>1</x:v>
      </x:c>
      <x:c r="E21" s="17" t="n">
        <x:v>2</x:v>
      </x:c>
      <x:c r="F21" s="17" t="n">
        <x:v>4</x:v>
      </x:c>
      <x:c r="G21" s="17" t="n">
        <x:v>7</x:v>
      </x:c>
      <x:c r="H21" s="16" t="str">
        <x:v>2009-08-29—2009-09-12｜世界桥牌团体锦标赛｜Venice Cup 女子团体｜CHINA LONG ZHU</x:v>
      </x:c>
      <x:c r="I21" s="16" t="str">
        <x:v>2008-10-03—2008-10-18｜第1届世界智力运动会 / 世界桥牌运动会｜Women Teams 女子团体｜CHINA
2013｜世界桥牌团体锦标赛｜Transnational Open Teams 跨国公开团体｜CHINA</x:v>
      </x:c>
      <x:c r="J21" s="16" t="str">
        <x:v>1991｜世界桥牌团体锦标赛｜Venice Cup 女子团体｜CHINA
2007｜世界桥牌团体锦标赛｜Venice Cup 女子团体｜CHINA
2012｜世界桥牌运动会｜Transnational Mixed Teams 跨国混合团体｜CHINA
2014-10｜世界桥牌综合锦标赛｜Mixed Teams 混合团体｜CHINA</x:v>
      </x:c>
    </x:row>
    <x:row r="22">
      <x:c r="A22" s="36" t="n">
        <x:v>18</x:v>
      </x:c>
      <x:c r="B22" s="36" t="str">
        <x:v>Nan Wang</x:v>
      </x:c>
      <x:c r="C22" s="36" t="str">
        <x:v>王南</x:v>
      </x:c>
      <x:c r="D22" s="36" t="n">
        <x:v>1</x:v>
      </x:c>
      <x:c r="E22" s="36" t="n">
        <x:v>2</x:v>
      </x:c>
      <x:c r="F22" s="36" t="n">
        <x:v>3</x:v>
      </x:c>
      <x:c r="G22" s="36" t="n">
        <x:v>6</x:v>
      </x:c>
      <x:c r="H22" s="35" t="str">
        <x:v>2017｜世界桥牌团体锦标赛｜Venice Cup 女子团体｜CHINA</x:v>
      </x:c>
      <x:c r="I22" s="35" t="str">
        <x:v>2019-09｜世界桥牌团体锦标赛｜Venice Cup 女子团体｜CHINA
2025-08-20—2025-08-31｜第47届世界桥牌团体锦标赛｜Venice Cup 女子团体｜CHINA</x:v>
      </x:c>
      <x:c r="J22" s="35" t="str">
        <x:v>2014-10｜世界桥牌综合锦标赛｜Mixed Pairs 混合双人｜Bangxiang Zhang – Nan Wang
2016｜世界桥牌运动会｜World National Women Teams 女子国家团体｜CHINA
2018｜世界桥牌综合锦标赛｜Women Pairs 女子双人｜Yan Huang – Nan Wang</x:v>
      </x:c>
    </x:row>
    <x:row r="23">
      <x:c r="A23" s="17" t="n">
        <x:v>19</x:v>
      </x:c>
      <x:c r="B23" s="17" t="str">
        <x:v>Chenyun Ge</x:v>
      </x:c>
      <x:c r="C23" s="17" t="str"/>
      <x:c r="D23" s="17" t="n">
        <x:v>1</x:v>
      </x:c>
      <x:c r="E23" s="17" t="n">
        <x:v>2</x:v>
      </x:c>
      <x:c r="F23" s="17" t="n">
        <x:v>1</x:v>
      </x:c>
      <x:c r="G23" s="17" t="n">
        <x:v>4</x:v>
      </x:c>
      <x:c r="H23" s="16" t="str">
        <x:v>2017-08-15—2017-08-24｜第5届世界青年公开锦标赛｜U26 Women Teams / Girls Teams｜SHENGXING TEAM 1</x:v>
      </x:c>
      <x:c r="I23" s="16" t="str">
        <x:v>2015-08-20—2015-08-29｜第4届世界青年公开锦标赛｜U26 Women Teams / Girls Teams｜SX XHLD
2019-08-20—2019-08-29｜第6届世界青年公开锦标赛｜U26 Women Teams｜SXPEONY</x:v>
      </x:c>
      <x:c r="J23" s="16" t="str">
        <x:v>2019-08-20—2019-08-29｜第6届世界青年公开锦标赛｜U26 Women Pairs｜Yijia Lu – Chenyun Ge</x:v>
      </x:c>
    </x:row>
    <x:row r="24">
      <x:c r="A24" s="36" t="n">
        <x:v>20</x:v>
      </x:c>
      <x:c r="B24" s="36" t="str">
        <x:v>Cheng Deng</x:v>
      </x:c>
      <x:c r="C24" s="36" t="str"/>
      <x:c r="D24" s="36" t="n">
        <x:v>1</x:v>
      </x:c>
      <x:c r="E24" s="36" t="n">
        <x:v>2</x:v>
      </x:c>
      <x:c r="F24" s="36" t="n">
        <x:v>0</x:v>
      </x:c>
      <x:c r="G24" s="36" t="n">
        <x:v>3</x:v>
      </x:c>
      <x:c r="H24" s="35" t="str">
        <x:v>2017-08-15—2017-08-24｜第5届世界青年公开锦标赛｜U21 Pairs / Youngsters Pairs｜Cheng Deng – Zhijie Yuan</x:v>
      </x:c>
      <x:c r="I24" s="35" t="str">
        <x:v>2016-08-03—2016-08-13｜世界青年团体锦标赛｜U16 Teams｜CHINA2
2017-08-15—2017-08-24｜第5届世界青年公开锦标赛｜U21 Teams / Youngsters Teams｜SHENGXING TEAM</x:v>
      </x:c>
      <x:c r="J24" s="35" t="str"/>
    </x:row>
    <x:row r="25">
      <x:c r="A25" s="17" t="n">
        <x:v>20</x:v>
      </x:c>
      <x:c r="B25" s="17" t="str">
        <x:v>Haochen Liu</x:v>
      </x:c>
      <x:c r="C25" s="17" t="str"/>
      <x:c r="D25" s="17" t="n">
        <x:v>1</x:v>
      </x:c>
      <x:c r="E25" s="17" t="n">
        <x:v>2</x:v>
      </x:c>
      <x:c r="F25" s="17" t="n">
        <x:v>0</x:v>
      </x:c>
      <x:c r="G25" s="17" t="n">
        <x:v>3</x:v>
      </x:c>
      <x:c r="H25" s="16" t="str">
        <x:v>2017-08-15—2017-08-24｜第5届世界青年公开锦标赛｜U16 BAM｜SHENGXING VENUS</x:v>
      </x:c>
      <x:c r="I25" s="16" t="str">
        <x:v>2017-08-15—2017-08-24｜第5届世界青年公开锦标赛｜U16 Teams / Kids Teams｜SHENGXING VENUS
2026-08-03—2026-08-08｜第9届世界青年跨国锦标赛｜U31 Teams｜CHINA U31</x:v>
      </x:c>
      <x:c r="J25" s="16" t="str"/>
    </x:row>
    <x:row r="26">
      <x:c r="A26" s="36" t="n">
        <x:v>20</x:v>
      </x:c>
      <x:c r="B26" s="36" t="str">
        <x:v>Jiaming Xu</x:v>
      </x:c>
      <x:c r="C26" s="36" t="str"/>
      <x:c r="D26" s="36" t="n">
        <x:v>1</x:v>
      </x:c>
      <x:c r="E26" s="36" t="n">
        <x:v>2</x:v>
      </x:c>
      <x:c r="F26" s="36" t="n">
        <x:v>0</x:v>
      </x:c>
      <x:c r="G26" s="36" t="n">
        <x:v>3</x:v>
      </x:c>
      <x:c r="H26" s="35" t="str">
        <x:v>2017-08-15—2017-08-24｜第5届世界青年公开锦标赛｜U26 Women Teams / Girls Teams｜SHENGXING TEAM 1</x:v>
      </x:c>
      <x:c r="I26" s="35" t="str">
        <x:v>2017-08-15—2017-08-24｜第5届世界青年公开锦标赛｜U26 Women Pairs / Girls Pairs｜Yunpeng Chen – Jiaming Xu
2019-08-20—2019-08-29｜第6届世界青年公开锦标赛｜U26 Women Teams｜SXPEONY</x:v>
      </x:c>
      <x:c r="J26" s="35" t="str"/>
    </x:row>
    <x:row r="27">
      <x:c r="A27" s="17" t="n">
        <x:v>20</x:v>
      </x:c>
      <x:c r="B27" s="17" t="str">
        <x:v>Ruicheng Mao</x:v>
      </x:c>
      <x:c r="C27" s="17" t="str"/>
      <x:c r="D27" s="17" t="n">
        <x:v>1</x:v>
      </x:c>
      <x:c r="E27" s="17" t="n">
        <x:v>2</x:v>
      </x:c>
      <x:c r="F27" s="17" t="n">
        <x:v>0</x:v>
      </x:c>
      <x:c r="G27" s="17" t="n">
        <x:v>3</x:v>
      </x:c>
      <x:c r="H27" s="16" t="str">
        <x:v>2017-08-15—2017-08-24｜第5届世界青年公开锦标赛｜U16 BAM｜SHENGXING VENUS</x:v>
      </x:c>
      <x:c r="I27" s="16" t="str">
        <x:v>2017-08-15—2017-08-24｜第5届世界青年公开锦标赛｜U16 Pairs / Kids Pairs｜Ruicheng Mao – Zhaochen Yu
2017-08-15—2017-08-24｜第5届世界青年公开锦标赛｜U16 Teams / Kids Teams｜SHENGXING VENUS</x:v>
      </x:c>
      <x:c r="J27" s="16" t="str"/>
    </x:row>
    <x:row r="28">
      <x:c r="A28" s="36" t="n">
        <x:v>20</x:v>
      </x:c>
      <x:c r="B28" s="36" t="str">
        <x:v>Zhaochen Yu</x:v>
      </x:c>
      <x:c r="C28" s="36" t="str"/>
      <x:c r="D28" s="36" t="n">
        <x:v>1</x:v>
      </x:c>
      <x:c r="E28" s="36" t="n">
        <x:v>2</x:v>
      </x:c>
      <x:c r="F28" s="36" t="n">
        <x:v>0</x:v>
      </x:c>
      <x:c r="G28" s="36" t="n">
        <x:v>3</x:v>
      </x:c>
      <x:c r="H28" s="35" t="str">
        <x:v>2017-08-15—2017-08-24｜第5届世界青年公开锦标赛｜U16 BAM｜SHENGXING VENUS</x:v>
      </x:c>
      <x:c r="I28" s="35" t="str">
        <x:v>2017-08-15—2017-08-24｜第5届世界青年公开锦标赛｜U16 Pairs / Kids Pairs｜Ruicheng Mao – Zhaochen Yu
2017-08-15—2017-08-24｜第5届世界青年公开锦标赛｜U16 Teams / Kids Teams｜SHENGXING VENUS</x:v>
      </x:c>
      <x:c r="J28" s="35" t="str"/>
    </x:row>
    <x:row r="29">
      <x:c r="A29" s="17" t="n">
        <x:v>25</x:v>
      </x:c>
      <x:c r="B29" s="17" t="str">
        <x:v>Yan Huang</x:v>
      </x:c>
      <x:c r="C29" s="17" t="str"/>
      <x:c r="D29" s="17" t="n">
        <x:v>1</x:v>
      </x:c>
      <x:c r="E29" s="17" t="n">
        <x:v>1</x:v>
      </x:c>
      <x:c r="F29" s="17" t="n">
        <x:v>5</x:v>
      </x:c>
      <x:c r="G29" s="17" t="n">
        <x:v>7</x:v>
      </x:c>
      <x:c r="H29" s="16" t="str">
        <x:v>2017｜世界桥牌团体锦标赛｜Venice Cup 女子团体｜CHINA</x:v>
      </x:c>
      <x:c r="I29" s="16" t="str">
        <x:v>2014-10｜世界桥牌综合锦标赛｜Women Pairs 女子双人｜Yan Huang – Ling Gan</x:v>
      </x:c>
      <x:c r="J29" s="16" t="str">
        <x:v>2008-10-03—2008-10-18｜第1届世界智力运动会 / 世界桥牌运动会｜Transnational Mixed Teams 跨国混合团体｜A-EVERTRUST HOLDING GROUP
2016｜世界桥牌运动会｜World National Women Teams 女子国家团体｜CHINA
2018｜世界桥牌综合锦标赛｜Women Pairs 女子双人｜Yan Huang – Nan Wang
2019-09｜世界桥牌团体锦标赛｜Transnational Open Teams 跨国公开团体｜CHINA
2023-08｜世界桥牌团体锦标赛｜Venice Cup 女子团体｜CHINA</x:v>
      </x:c>
    </x:row>
    <x:row r="30">
      <x:c r="A30" s="36" t="n">
        <x:v>26</x:v>
      </x:c>
      <x:c r="B30" s="36" t="str">
        <x:v>Yan Liu</x:v>
      </x:c>
      <x:c r="C30" s="36" t="str">
        <x:v>刘艳</x:v>
      </x:c>
      <x:c r="D30" s="36" t="n">
        <x:v>1</x:v>
      </x:c>
      <x:c r="E30" s="36" t="n">
        <x:v>1</x:v>
      </x:c>
      <x:c r="F30" s="36" t="n">
        <x:v>2</x:v>
      </x:c>
      <x:c r="G30" s="36" t="n">
        <x:v>4</x:v>
      </x:c>
      <x:c r="H30" s="35" t="str">
        <x:v>2017｜世界桥牌团体锦标赛｜Venice Cup 女子团体｜CHINA</x:v>
      </x:c>
      <x:c r="I30" s="35" t="str">
        <x:v>2019-09｜世界桥牌团体锦标赛｜Venice Cup 女子团体｜CHINA</x:v>
      </x:c>
      <x:c r="J30" s="35" t="str">
        <x:v>2016｜世界桥牌运动会｜World National Women Teams 女子国家团体｜CHINA
2023-08｜世界桥牌团体锦标赛｜Venice Cup 女子团体｜CHINA</x:v>
      </x:c>
    </x:row>
    <x:row r="31">
      <x:c r="A31" s="17" t="n">
        <x:v>27</x:v>
      </x:c>
      <x:c r="B31" s="17" t="str">
        <x:v>Qi Shen</x:v>
      </x:c>
      <x:c r="C31" s="17" t="str">
        <x:v>沈琦</x:v>
      </x:c>
      <x:c r="D31" s="17" t="n">
        <x:v>1</x:v>
      </x:c>
      <x:c r="E31" s="17" t="n">
        <x:v>1</x:v>
      </x:c>
      <x:c r="F31" s="17" t="n">
        <x:v>1</x:v>
      </x:c>
      <x:c r="G31" s="17" t="n">
        <x:v>3</x:v>
      </x:c>
      <x:c r="H31" s="16" t="str">
        <x:v>2017｜世界桥牌团体锦标赛｜Venice Cup 女子团体｜CHINA</x:v>
      </x:c>
      <x:c r="I31" s="16" t="str">
        <x:v>2019-09｜世界桥牌团体锦标赛｜Venice Cup 女子团体｜CHINA</x:v>
      </x:c>
      <x:c r="J31" s="16" t="str">
        <x:v>2016｜世界桥牌运动会｜World National Women Teams 女子国家团体｜CHINA</x:v>
      </x:c>
    </x:row>
    <x:row r="32">
      <x:c r="A32" s="36" t="n">
        <x:v>27</x:v>
      </x:c>
      <x:c r="B32" s="36" t="str">
        <x:v>Yijia Lu</x:v>
      </x:c>
      <x:c r="C32" s="36" t="str"/>
      <x:c r="D32" s="36" t="n">
        <x:v>1</x:v>
      </x:c>
      <x:c r="E32" s="36" t="n">
        <x:v>1</x:v>
      </x:c>
      <x:c r="F32" s="36" t="n">
        <x:v>1</x:v>
      </x:c>
      <x:c r="G32" s="36" t="n">
        <x:v>3</x:v>
      </x:c>
      <x:c r="H32" s="35" t="str">
        <x:v>2017-08-15—2017-08-24｜第5届世界青年公开锦标赛｜U26 Women Teams / Girls Teams｜SHENGXING TEAM 1</x:v>
      </x:c>
      <x:c r="I32" s="35" t="str">
        <x:v>2019-08-20—2019-08-29｜第6届世界青年公开锦标赛｜U26 Women Teams｜SXPEONY</x:v>
      </x:c>
      <x:c r="J32" s="35" t="str">
        <x:v>2019-08-20—2019-08-29｜第6届世界青年公开锦标赛｜U26 Women Pairs｜Yijia Lu – Chenyun Ge</x:v>
      </x:c>
    </x:row>
    <x:row r="33">
      <x:c r="A33" s="17" t="n">
        <x:v>27</x:v>
      </x:c>
      <x:c r="B33" s="17" t="str">
        <x:v>Zhijie Yuan</x:v>
      </x:c>
      <x:c r="C33" s="17" t="str"/>
      <x:c r="D33" s="17" t="n">
        <x:v>1</x:v>
      </x:c>
      <x:c r="E33" s="17" t="n">
        <x:v>1</x:v>
      </x:c>
      <x:c r="F33" s="17" t="n">
        <x:v>1</x:v>
      </x:c>
      <x:c r="G33" s="17" t="n">
        <x:v>3</x:v>
      </x:c>
      <x:c r="H33" s="16" t="str">
        <x:v>2017-08-15—2017-08-24｜第5届世界青年公开锦标赛｜U21 Pairs / Youngsters Pairs｜Cheng Deng – Zhijie Yuan</x:v>
      </x:c>
      <x:c r="I33" s="16" t="str">
        <x:v>2017-08-15—2017-08-24｜第5届世界青年公开锦标赛｜U21 Teams / Youngsters Teams｜SHENGXING TEAM</x:v>
      </x:c>
      <x:c r="J33" s="16" t="str">
        <x:v>2015-08-20—2015-08-29｜第4届世界青年公开锦标赛｜U16 Pairs / Kids Pairs｜Zhe Wu – Zhijie Yuan</x:v>
      </x:c>
    </x:row>
    <x:row r="34">
      <x:c r="A34" s="36" t="n">
        <x:v>27</x:v>
      </x:c>
      <x:c r="B34" s="36" t="str">
        <x:v>Zhong Fu</x:v>
      </x:c>
      <x:c r="C34" s="36" t="str">
        <x:v>福中</x:v>
      </x:c>
      <x:c r="D34" s="36" t="n">
        <x:v>1</x:v>
      </x:c>
      <x:c r="E34" s="36" t="n">
        <x:v>1</x:v>
      </x:c>
      <x:c r="F34" s="36" t="n">
        <x:v>1</x:v>
      </x:c>
      <x:c r="G34" s="36" t="n">
        <x:v>3</x:v>
      </x:c>
      <x:c r="H34" s="35" t="str">
        <x:v>2006-06｜世界桥牌综合锦标赛｜Open Pairs 公开双人｜Zhong Fu – Jie Zhao</x:v>
      </x:c>
      <x:c r="I34" s="35" t="str">
        <x:v>2003｜世界桥牌团体锦标赛｜Transnational Open Teams 跨国公开团体｜CHINA</x:v>
      </x:c>
      <x:c r="J34" s="35" t="str">
        <x:v>2004｜世界桥牌奥林匹克赛｜Transnational Mixed Teams 跨国混合团体｜CHINA</x:v>
      </x:c>
    </x:row>
    <x:row r="35">
      <x:c r="A35" s="17" t="n">
        <x:v>31</x:v>
      </x:c>
      <x:c r="B35" s="17" t="str">
        <x:v>Xinyi Li</x:v>
      </x:c>
      <x:c r="C35" s="17" t="str"/>
      <x:c r="D35" s="17" t="n">
        <x:v>1</x:v>
      </x:c>
      <x:c r="E35" s="17" t="n">
        <x:v>1</x:v>
      </x:c>
      <x:c r="F35" s="17" t="n">
        <x:v>0</x:v>
      </x:c>
      <x:c r="G35" s="17" t="n">
        <x:v>2</x:v>
      </x:c>
      <x:c r="H35" s="16" t="str">
        <x:v>2018-08-08—2018-08-18｜世界青年团体锦标赛｜U26 Women Teams｜CHINA</x:v>
      </x:c>
      <x:c r="I35" s="16" t="str">
        <x:v>2014-08-13—2014-08-23｜世界青年团体锦标赛｜U26 Women Teams｜CHINA</x:v>
      </x:c>
      <x:c r="J35" s="16" t="str"/>
    </x:row>
    <x:row r="36">
      <x:c r="A36" s="36" t="n">
        <x:v>31</x:v>
      </x:c>
      <x:c r="B36" s="36" t="str">
        <x:v>Yezhen Ji</x:v>
      </x:c>
      <x:c r="C36" s="36" t="str"/>
      <x:c r="D36" s="36" t="n">
        <x:v>1</x:v>
      </x:c>
      <x:c r="E36" s="36" t="n">
        <x:v>1</x:v>
      </x:c>
      <x:c r="F36" s="36" t="n">
        <x:v>0</x:v>
      </x:c>
      <x:c r="G36" s="36" t="n">
        <x:v>2</x:v>
      </x:c>
      <x:c r="H36" s="35" t="str">
        <x:v>2025-07-12—2025-07-17｜第19届世界青年团体锦标赛｜U16 BAM｜CHINA</x:v>
      </x:c>
      <x:c r="I36" s="35" t="str">
        <x:v>2026-08-03—2026-08-08｜第9届世界青年跨国锦标赛｜U16 Pairs｜Xinhao Wu – Yezhen Ji</x:v>
      </x:c>
      <x:c r="J36" s="35" t="str"/>
    </x:row>
    <x:row r="37">
      <x:c r="A37" s="17" t="n">
        <x:v>31</x:v>
      </x:c>
      <x:c r="B37" s="17" t="str">
        <x:v>Yichen Yin</x:v>
      </x:c>
      <x:c r="C37" s="17" t="str"/>
      <x:c r="D37" s="17" t="n">
        <x:v>1</x:v>
      </x:c>
      <x:c r="E37" s="17" t="n">
        <x:v>1</x:v>
      </x:c>
      <x:c r="F37" s="17" t="n">
        <x:v>0</x:v>
      </x:c>
      <x:c r="G37" s="17" t="n">
        <x:v>2</x:v>
      </x:c>
      <x:c r="H37" s="16" t="str">
        <x:v>2015-08-20—2015-08-29｜第4届世界青年公开锦标赛｜U21 Teams / Youngsters Teams｜CHINA</x:v>
      </x:c>
      <x:c r="I37" s="16" t="str">
        <x:v>2015-08-20—2015-08-29｜第4届世界青年公开锦标赛｜U21 Pairs｜Yichen Yin – Zhengyang Fang</x:v>
      </x:c>
      <x:c r="J37" s="16" t="str"/>
    </x:row>
    <x:row r="38">
      <x:c r="A38" s="36" t="n">
        <x:v>31</x:v>
      </x:c>
      <x:c r="B38" s="36" t="str">
        <x:v>Yufan Liao</x:v>
      </x:c>
      <x:c r="C38" s="36" t="str"/>
      <x:c r="D38" s="36" t="n">
        <x:v>1</x:v>
      </x:c>
      <x:c r="E38" s="36" t="n">
        <x:v>1</x:v>
      </x:c>
      <x:c r="F38" s="36" t="n">
        <x:v>0</x:v>
      </x:c>
      <x:c r="G38" s="36" t="n">
        <x:v>2</x:v>
      </x:c>
      <x:c r="H38" s="35" t="str">
        <x:v>2026-08-03—2026-08-08｜第9届世界青年跨国锦标赛｜U31 Teams｜AGOOFANS</x:v>
      </x:c>
      <x:c r="I38" s="35" t="str">
        <x:v>2018-08-08—2018-08-18｜世界青年团体锦标赛｜Youth BAM｜CHINA YOUNGSTERS</x:v>
      </x:c>
      <x:c r="J38" s="35" t="str"/>
    </x:row>
    <x:row r="39">
      <x:c r="A39" s="17" t="n">
        <x:v>31</x:v>
      </x:c>
      <x:c r="B39" s="17" t="str">
        <x:v>Zhengyang Fang</x:v>
      </x:c>
      <x:c r="C39" s="17" t="str"/>
      <x:c r="D39" s="17" t="n">
        <x:v>1</x:v>
      </x:c>
      <x:c r="E39" s="17" t="n">
        <x:v>1</x:v>
      </x:c>
      <x:c r="F39" s="17" t="n">
        <x:v>0</x:v>
      </x:c>
      <x:c r="G39" s="17" t="n">
        <x:v>2</x:v>
      </x:c>
      <x:c r="H39" s="16" t="str">
        <x:v>2015-08-20—2015-08-29｜第4届世界青年公开锦标赛｜U21 Teams / Youngsters Teams｜CHINA</x:v>
      </x:c>
      <x:c r="I39" s="16" t="str">
        <x:v>2015-08-20—2015-08-29｜第4届世界青年公开锦标赛｜U21 Pairs｜Yichen Yin – Zhengyang Fang</x:v>
      </x:c>
      <x:c r="J39" s="16" t="str"/>
    </x:row>
    <x:row r="40">
      <x:c r="A40" s="36" t="n">
        <x:v>31</x:v>
      </x:c>
      <x:c r="B40" s="36" t="str">
        <x:v>Zixuan Yuan</x:v>
      </x:c>
      <x:c r="C40" s="36" t="str"/>
      <x:c r="D40" s="36" t="n">
        <x:v>1</x:v>
      </x:c>
      <x:c r="E40" s="36" t="n">
        <x:v>1</x:v>
      </x:c>
      <x:c r="F40" s="36" t="n">
        <x:v>0</x:v>
      </x:c>
      <x:c r="G40" s="36" t="n">
        <x:v>2</x:v>
      </x:c>
      <x:c r="H40" s="35" t="str">
        <x:v>2023-07-31—2023-08-07｜第18届世界青年团体锦标赛｜U16 BAM｜CHINA</x:v>
      </x:c>
      <x:c r="I40" s="35" t="str">
        <x:v>2026-08-03—2026-08-08｜第9届世界青年跨国锦标赛｜U21 Teams｜CHINA RDFZ BAXI</x:v>
      </x:c>
      <x:c r="J40" s="35" t="str"/>
    </x:row>
    <x:row r="41">
      <x:c r="A41" s="17" t="n">
        <x:v>37</x:v>
      </x:c>
      <x:c r="B41" s="17" t="str">
        <x:v>Yingqi Wang</x:v>
      </x:c>
      <x:c r="C41" s="17" t="str"/>
      <x:c r="D41" s="17" t="n">
        <x:v>1</x:v>
      </x:c>
      <x:c r="E41" s="17" t="n">
        <x:v>0</x:v>
      </x:c>
      <x:c r="F41" s="17" t="n">
        <x:v>3</x:v>
      </x:c>
      <x:c r="G41" s="17" t="n">
        <x:v>4</x:v>
      </x:c>
      <x:c r="H41" s="16" t="str">
        <x:v>2015-08-20—2015-08-29｜第4届世界青年公开锦标赛｜U16 Teams / Kids Teams｜SX HYSW</x:v>
      </x:c>
      <x:c r="I41" s="16" t="str"/>
      <x:c r="J41" s="16" t="str">
        <x:v>2017-08-15—2017-08-24｜第5届世界青年公开锦标赛｜U16 BAM｜SHENGXING SATURN
2017-08-15—2017-08-24｜第5届世界青年公开锦标赛｜U16 Teams / Kids Teams｜SHENGXING SATURN
2019-08-20—2019-08-29｜第6届世界青年公开锦标赛｜Youth BAM｜SXNEBULA</x:v>
      </x:c>
    </x:row>
    <x:row r="42">
      <x:c r="A42" s="36" t="n">
        <x:v>38</x:v>
      </x:c>
      <x:c r="B42" s="36" t="str">
        <x:v>Dongke Fang</x:v>
      </x:c>
      <x:c r="C42" s="36" t="str"/>
      <x:c r="D42" s="36" t="n">
        <x:v>1</x:v>
      </x:c>
      <x:c r="E42" s="36" t="n">
        <x:v>0</x:v>
      </x:c>
      <x:c r="F42" s="36" t="n">
        <x:v>1</x:v>
      </x:c>
      <x:c r="G42" s="36" t="n">
        <x:v>2</x:v>
      </x:c>
      <x:c r="H42" s="35" t="str">
        <x:v>2015-08-20—2015-08-29｜第4届世界青年公开锦标赛｜U21 Teams / Youngsters Teams｜CHINA</x:v>
      </x:c>
      <x:c r="I42" s="35" t="str"/>
      <x:c r="J42" s="35" t="str">
        <x:v>2014-08-13—2014-08-23｜世界青年团体锦标赛｜U16 Teams｜CHINA</x:v>
      </x:c>
    </x:row>
    <x:row r="43">
      <x:c r="A43" s="17" t="n">
        <x:v>38</x:v>
      </x:c>
      <x:c r="B43" s="17" t="str">
        <x:v>Ru Yan</x:v>
      </x:c>
      <x:c r="C43" s="17" t="str">
        <x:v>阎茹</x:v>
      </x:c>
      <x:c r="D43" s="17" t="n">
        <x:v>1</x:v>
      </x:c>
      <x:c r="E43" s="17" t="n">
        <x:v>0</x:v>
      </x:c>
      <x:c r="F43" s="17" t="n">
        <x:v>1</x:v>
      </x:c>
      <x:c r="G43" s="17" t="n">
        <x:v>2</x:v>
      </x:c>
      <x:c r="H43" s="16" t="str">
        <x:v>2009-08-29—2009-09-12｜世界桥牌团体锦标赛｜Venice Cup 女子团体｜CHINA LONG ZHU</x:v>
      </x:c>
      <x:c r="I43" s="16" t="str"/>
      <x:c r="J43" s="16" t="str">
        <x:v>2008-10-03—2008-10-18｜第1届世界智力运动会 / 世界桥牌运动会｜World Masters Individual Women 女子个人｜个人</x:v>
      </x:c>
    </x:row>
    <x:row r="44">
      <x:c r="A44" s="36" t="n">
        <x:v>38</x:v>
      </x:c>
      <x:c r="B44" s="36" t="str">
        <x:v>Tao Zhou</x:v>
      </x:c>
      <x:c r="C44" s="36" t="str"/>
      <x:c r="D44" s="36" t="n">
        <x:v>1</x:v>
      </x:c>
      <x:c r="E44" s="36" t="n">
        <x:v>0</x:v>
      </x:c>
      <x:c r="F44" s="36" t="n">
        <x:v>1</x:v>
      </x:c>
      <x:c r="G44" s="36" t="n">
        <x:v>2</x:v>
      </x:c>
      <x:c r="H44" s="35" t="str">
        <x:v>2014-10｜世界桥牌综合锦标赛｜Women Pairs 女子双人｜Tao Zhou – Shu Liu</x:v>
      </x:c>
      <x:c r="I44" s="35" t="str"/>
      <x:c r="J44" s="35" t="str">
        <x:v>2016｜世界桥牌运动会｜World National Women Pairs 女子国家双人｜Ling Gu – Tao Zhou</x:v>
      </x:c>
    </x:row>
    <x:row r="45">
      <x:c r="A45" s="17" t="n">
        <x:v>38</x:v>
      </x:c>
      <x:c r="B45" s="17" t="str">
        <x:v>Yajie Lu</x:v>
      </x:c>
      <x:c r="C45" s="17" t="str"/>
      <x:c r="D45" s="17" t="n">
        <x:v>1</x:v>
      </x:c>
      <x:c r="E45" s="17" t="n">
        <x:v>0</x:v>
      </x:c>
      <x:c r="F45" s="17" t="n">
        <x:v>1</x:v>
      </x:c>
      <x:c r="G45" s="17" t="n">
        <x:v>2</x:v>
      </x:c>
      <x:c r="H45" s="16" t="str">
        <x:v>2017-08-15—2017-08-24｜第5届世界青年公开锦标赛｜U26 Women Teams / Girls Teams｜SHENGXING TEAM 1</x:v>
      </x:c>
      <x:c r="I45" s="16" t="str"/>
      <x:c r="J45" s="16" t="str">
        <x:v>2017-08-15—2017-08-24｜第5届世界青年公开锦标赛｜U26 Women Pairs / Girls Pairs｜Xinyao Ruan – Yajie Lu</x:v>
      </x:c>
    </x:row>
    <x:row r="46">
      <x:c r="A46" s="36" t="n">
        <x:v>38</x:v>
      </x:c>
      <x:c r="B46" s="36" t="str">
        <x:v>Zihan Wang</x:v>
      </x:c>
      <x:c r="C46" s="36" t="str"/>
      <x:c r="D46" s="36" t="n">
        <x:v>1</x:v>
      </x:c>
      <x:c r="E46" s="36" t="n">
        <x:v>0</x:v>
      </x:c>
      <x:c r="F46" s="36" t="n">
        <x:v>1</x:v>
      </x:c>
      <x:c r="G46" s="36" t="n">
        <x:v>2</x:v>
      </x:c>
      <x:c r="H46" s="35" t="str">
        <x:v>2015-08-20—2015-08-29｜第4届世界青年公开锦标赛｜U21 Teams / Youngsters Teams｜CHINA</x:v>
      </x:c>
      <x:c r="I46" s="35" t="str"/>
      <x:c r="J46" s="35" t="str">
        <x:v>2014-08-13—2014-08-23｜世界青年团体锦标赛｜U16 Teams｜CHINA</x:v>
      </x:c>
    </x:row>
    <x:row r="47">
      <x:c r="A47" s="17" t="n">
        <x:v>43</x:v>
      </x:c>
      <x:c r="B47" s="17" t="str">
        <x:v>Boxin Zhang</x:v>
      </x:c>
      <x:c r="C47" s="17" t="str"/>
      <x:c r="D47" s="17" t="n">
        <x:v>1</x:v>
      </x:c>
      <x:c r="E47" s="17" t="n">
        <x:v>0</x:v>
      </x:c>
      <x:c r="F47" s="17" t="n">
        <x:v>0</x:v>
      </x:c>
      <x:c r="G47" s="17" t="n">
        <x:v>1</x:v>
      </x:c>
      <x:c r="H47" s="16" t="str">
        <x:v>2017-08-15—2017-08-24｜第5届世界青年公开锦标赛｜U16 Teams / Kids Teams｜CHINA RDFZ GALAXY</x:v>
      </x:c>
      <x:c r="I47" s="16" t="str"/>
      <x:c r="J47" s="16" t="str"/>
    </x:row>
    <x:row r="48">
      <x:c r="A48" s="36" t="n">
        <x:v>43</x:v>
      </x:c>
      <x:c r="B48" s="36" t="str">
        <x:v>Chengke Hu</x:v>
      </x:c>
      <x:c r="C48" s="36" t="str"/>
      <x:c r="D48" s="36" t="n">
        <x:v>1</x:v>
      </x:c>
      <x:c r="E48" s="36" t="n">
        <x:v>0</x:v>
      </x:c>
      <x:c r="F48" s="36" t="n">
        <x:v>0</x:v>
      </x:c>
      <x:c r="G48" s="36" t="n">
        <x:v>1</x:v>
      </x:c>
      <x:c r="H48" s="35" t="str">
        <x:v>2018-08-08—2018-08-18｜世界青年团体锦标赛｜U26 Women Teams｜CHINA</x:v>
      </x:c>
      <x:c r="I48" s="35" t="str"/>
      <x:c r="J48" s="35" t="str"/>
    </x:row>
    <x:row r="49">
      <x:c r="A49" s="17" t="n">
        <x:v>43</x:v>
      </x:c>
      <x:c r="B49" s="17" t="str">
        <x:v>Enzong Wu</x:v>
      </x:c>
      <x:c r="C49" s="17" t="str"/>
      <x:c r="D49" s="17" t="n">
        <x:v>1</x:v>
      </x:c>
      <x:c r="E49" s="17" t="n">
        <x:v>0</x:v>
      </x:c>
      <x:c r="F49" s="17" t="n">
        <x:v>0</x:v>
      </x:c>
      <x:c r="G49" s="17" t="n">
        <x:v>1</x:v>
      </x:c>
      <x:c r="H49" s="16" t="str">
        <x:v>2026-08-03—2026-08-08｜第9届世界青年跨国锦标赛｜U31 Teams｜AGOOFANS</x:v>
      </x:c>
      <x:c r="I49" s="16" t="str"/>
      <x:c r="J49" s="16" t="str"/>
    </x:row>
    <x:row r="50">
      <x:c r="A50" s="36" t="n">
        <x:v>43</x:v>
      </x:c>
      <x:c r="B50" s="36" t="str">
        <x:v>Fanfei Yu</x:v>
      </x:c>
      <x:c r="C50" s="36" t="str"/>
      <x:c r="D50" s="36" t="n">
        <x:v>1</x:v>
      </x:c>
      <x:c r="E50" s="36" t="n">
        <x:v>0</x:v>
      </x:c>
      <x:c r="F50" s="36" t="n">
        <x:v>0</x:v>
      </x:c>
      <x:c r="G50" s="36" t="n">
        <x:v>1</x:v>
      </x:c>
      <x:c r="H50" s="35" t="str">
        <x:v>2019-08-20—2019-08-29｜第6届世界青年公开锦标赛｜U16 Teams｜SXMARS</x:v>
      </x:c>
      <x:c r="I50" s="35" t="str"/>
      <x:c r="J50" s="35" t="str"/>
    </x:row>
    <x:row r="51">
      <x:c r="A51" s="17" t="n">
        <x:v>43</x:v>
      </x:c>
      <x:c r="B51" s="17" t="str">
        <x:v>Fangchen Zhao</x:v>
      </x:c>
      <x:c r="C51" s="17" t="str"/>
      <x:c r="D51" s="17" t="n">
        <x:v>1</x:v>
      </x:c>
      <x:c r="E51" s="17" t="n">
        <x:v>0</x:v>
      </x:c>
      <x:c r="F51" s="17" t="n">
        <x:v>0</x:v>
      </x:c>
      <x:c r="G51" s="17" t="n">
        <x:v>1</x:v>
      </x:c>
      <x:c r="H51" s="16" t="str">
        <x:v>2017-08-15—2017-08-24｜第5届世界青年公开锦标赛｜U16 Teams / Kids Teams｜CHINA RDFZ GALAXY</x:v>
      </x:c>
      <x:c r="I51" s="16" t="str"/>
      <x:c r="J51" s="16" t="str"/>
    </x:row>
    <x:row r="52">
      <x:c r="A52" s="36" t="n">
        <x:v>43</x:v>
      </x:c>
      <x:c r="B52" s="36" t="str">
        <x:v>Haochen Hu</x:v>
      </x:c>
      <x:c r="C52" s="36" t="str"/>
      <x:c r="D52" s="36" t="n">
        <x:v>1</x:v>
      </x:c>
      <x:c r="E52" s="36" t="n">
        <x:v>0</x:v>
      </x:c>
      <x:c r="F52" s="36" t="n">
        <x:v>0</x:v>
      </x:c>
      <x:c r="G52" s="36" t="n">
        <x:v>1</x:v>
      </x:c>
      <x:c r="H52" s="35" t="str">
        <x:v>2025-07-12—2025-07-17｜第19届世界青年团体锦标赛｜U16 BAM｜CHINA</x:v>
      </x:c>
      <x:c r="I52" s="35" t="str"/>
      <x:c r="J52" s="35" t="str"/>
    </x:row>
    <x:row r="53">
      <x:c r="A53" s="17" t="n">
        <x:v>43</x:v>
      </x:c>
      <x:c r="B53" s="17" t="str">
        <x:v>Haoran Wang</x:v>
      </x:c>
      <x:c r="C53" s="17" t="str"/>
      <x:c r="D53" s="17" t="n">
        <x:v>1</x:v>
      </x:c>
      <x:c r="E53" s="17" t="n">
        <x:v>0</x:v>
      </x:c>
      <x:c r="F53" s="17" t="n">
        <x:v>0</x:v>
      </x:c>
      <x:c r="G53" s="17" t="n">
        <x:v>1</x:v>
      </x:c>
      <x:c r="H53" s="16" t="str">
        <x:v>2023-07-31—2023-08-07｜第18届世界青年团体锦标赛｜U16 BAM｜CHINA</x:v>
      </x:c>
      <x:c r="I53" s="16" t="str"/>
      <x:c r="J53" s="16" t="str"/>
    </x:row>
    <x:row r="54">
      <x:c r="A54" s="36" t="n">
        <x:v>43</x:v>
      </x:c>
      <x:c r="B54" s="36" t="str">
        <x:v>Haotian Shen</x:v>
      </x:c>
      <x:c r="C54" s="36" t="str"/>
      <x:c r="D54" s="36" t="n">
        <x:v>1</x:v>
      </x:c>
      <x:c r="E54" s="36" t="n">
        <x:v>0</x:v>
      </x:c>
      <x:c r="F54" s="36" t="n">
        <x:v>0</x:v>
      </x:c>
      <x:c r="G54" s="36" t="n">
        <x:v>1</x:v>
      </x:c>
      <x:c r="H54" s="35" t="str">
        <x:v>2019-08-20—2019-08-29｜第6届世界青年公开锦标赛｜U16 Teams｜SXMARS</x:v>
      </x:c>
      <x:c r="I54" s="35" t="str"/>
      <x:c r="J54" s="35" t="str"/>
    </x:row>
    <x:row r="55">
      <x:c r="A55" s="17" t="n">
        <x:v>43</x:v>
      </x:c>
      <x:c r="B55" s="17" t="str">
        <x:v>Haoxuan Yu</x:v>
      </x:c>
      <x:c r="C55" s="17" t="str"/>
      <x:c r="D55" s="17" t="n">
        <x:v>1</x:v>
      </x:c>
      <x:c r="E55" s="17" t="n">
        <x:v>0</x:v>
      </x:c>
      <x:c r="F55" s="17" t="n">
        <x:v>0</x:v>
      </x:c>
      <x:c r="G55" s="17" t="n">
        <x:v>1</x:v>
      </x:c>
      <x:c r="H55" s="16" t="str">
        <x:v>2023-07-31—2023-08-07｜第18届世界青年团体锦标赛｜U16 BAM｜CHINA</x:v>
      </x:c>
      <x:c r="I55" s="16" t="str"/>
      <x:c r="J55" s="16" t="str"/>
    </x:row>
    <x:row r="56">
      <x:c r="A56" s="36" t="n">
        <x:v>43</x:v>
      </x:c>
      <x:c r="B56" s="36" t="str">
        <x:v>Jingfan Chen</x:v>
      </x:c>
      <x:c r="C56" s="36" t="str"/>
      <x:c r="D56" s="36" t="n">
        <x:v>1</x:v>
      </x:c>
      <x:c r="E56" s="36" t="n">
        <x:v>0</x:v>
      </x:c>
      <x:c r="F56" s="36" t="n">
        <x:v>0</x:v>
      </x:c>
      <x:c r="G56" s="36" t="n">
        <x:v>1</x:v>
      </x:c>
      <x:c r="H56" s="35" t="str">
        <x:v>2017-08-15—2017-08-24｜第5届世界青年公开锦标赛｜U16 Teams / Kids Teams｜CHINA RDFZ GALAXY</x:v>
      </x:c>
      <x:c r="I56" s="35" t="str"/>
      <x:c r="J56" s="35" t="str"/>
    </x:row>
    <x:row r="57">
      <x:c r="A57" s="17" t="n">
        <x:v>43</x:v>
      </x:c>
      <x:c r="B57" s="17" t="str">
        <x:v>Lepeng Shen</x:v>
      </x:c>
      <x:c r="C57" s="17" t="str"/>
      <x:c r="D57" s="17" t="n">
        <x:v>1</x:v>
      </x:c>
      <x:c r="E57" s="17" t="n">
        <x:v>0</x:v>
      </x:c>
      <x:c r="F57" s="17" t="n">
        <x:v>0</x:v>
      </x:c>
      <x:c r="G57" s="17" t="n">
        <x:v>1</x:v>
      </x:c>
      <x:c r="H57" s="16" t="str">
        <x:v>2026-08-03—2026-08-08｜第9届世界青年跨国锦标赛｜U16 Pairs｜Lepeng Shen – Xiao Xu</x:v>
      </x:c>
      <x:c r="I57" s="16" t="str"/>
      <x:c r="J57" s="16" t="str"/>
    </x:row>
    <x:row r="58">
      <x:c r="A58" s="36" t="n">
        <x:v>43</x:v>
      </x:c>
      <x:c r="B58" s="36" t="str">
        <x:v>Ningyu Lang</x:v>
      </x:c>
      <x:c r="C58" s="36" t="str"/>
      <x:c r="D58" s="36" t="n">
        <x:v>1</x:v>
      </x:c>
      <x:c r="E58" s="36" t="n">
        <x:v>0</x:v>
      </x:c>
      <x:c r="F58" s="36" t="n">
        <x:v>0</x:v>
      </x:c>
      <x:c r="G58" s="36" t="n">
        <x:v>1</x:v>
      </x:c>
      <x:c r="H58" s="35" t="str">
        <x:v>2019-08-20—2019-08-29｜第6届世界青年公开锦标赛｜U16 Teams｜SXMARS</x:v>
      </x:c>
      <x:c r="I58" s="35" t="str"/>
      <x:c r="J58" s="35" t="str"/>
    </x:row>
    <x:row r="59">
      <x:c r="A59" s="17" t="n">
        <x:v>43</x:v>
      </x:c>
      <x:c r="B59" s="17" t="str">
        <x:v>Pengqiao Qu</x:v>
      </x:c>
      <x:c r="C59" s="17" t="str"/>
      <x:c r="D59" s="17" t="n">
        <x:v>1</x:v>
      </x:c>
      <x:c r="E59" s="17" t="n">
        <x:v>0</x:v>
      </x:c>
      <x:c r="F59" s="17" t="n">
        <x:v>0</x:v>
      </x:c>
      <x:c r="G59" s="17" t="n">
        <x:v>1</x:v>
      </x:c>
      <x:c r="H59" s="16" t="str">
        <x:v>2026-08-03—2026-08-08｜第9届世界青年跨国锦标赛｜U31 Teams｜AGOOFANS</x:v>
      </x:c>
      <x:c r="I59" s="16" t="str"/>
      <x:c r="J59" s="16" t="str"/>
    </x:row>
    <x:row r="60">
      <x:c r="A60" s="36" t="n">
        <x:v>43</x:v>
      </x:c>
      <x:c r="B60" s="36" t="str">
        <x:v>Renyu Li</x:v>
      </x:c>
      <x:c r="C60" s="36" t="str"/>
      <x:c r="D60" s="36" t="n">
        <x:v>1</x:v>
      </x:c>
      <x:c r="E60" s="36" t="n">
        <x:v>0</x:v>
      </x:c>
      <x:c r="F60" s="36" t="n">
        <x:v>0</x:v>
      </x:c>
      <x:c r="G60" s="36" t="n">
        <x:v>1</x:v>
      </x:c>
      <x:c r="H60" s="35" t="str">
        <x:v>2015-08-20—2015-08-29｜第4届世界青年公开锦标赛｜U16 Teams / Kids Teams｜SX HYSW</x:v>
      </x:c>
      <x:c r="I60" s="35" t="str"/>
      <x:c r="J60" s="35" t="str"/>
    </x:row>
    <x:row r="61">
      <x:c r="A61" s="17" t="n">
        <x:v>43</x:v>
      </x:c>
      <x:c r="B61" s="17" t="str">
        <x:v>Shaolin Sun</x:v>
      </x:c>
      <x:c r="C61" s="17" t="str"/>
      <x:c r="D61" s="17" t="n">
        <x:v>1</x:v>
      </x:c>
      <x:c r="E61" s="17" t="n">
        <x:v>0</x:v>
      </x:c>
      <x:c r="F61" s="17" t="n">
        <x:v>0</x:v>
      </x:c>
      <x:c r="G61" s="17" t="n">
        <x:v>1</x:v>
      </x:c>
      <x:c r="H61" s="16" t="str">
        <x:v>2019-09｜世界桥牌团体锦标赛｜Transnational Open Teams 跨国公开团体｜CHINA</x:v>
      </x:c>
      <x:c r="I61" s="16" t="str"/>
      <x:c r="J61" s="16" t="str"/>
    </x:row>
    <x:row r="62">
      <x:c r="A62" s="36" t="n">
        <x:v>43</x:v>
      </x:c>
      <x:c r="B62" s="36" t="str">
        <x:v>Shengle Zhang</x:v>
      </x:c>
      <x:c r="C62" s="36" t="str"/>
      <x:c r="D62" s="36" t="n">
        <x:v>1</x:v>
      </x:c>
      <x:c r="E62" s="36" t="n">
        <x:v>0</x:v>
      </x:c>
      <x:c r="F62" s="36" t="n">
        <x:v>0</x:v>
      </x:c>
      <x:c r="G62" s="36" t="n">
        <x:v>1</x:v>
      </x:c>
      <x:c r="H62" s="35" t="str">
        <x:v>2019-09｜世界桥牌团体锦标赛｜Transnational Open Teams 跨国公开团体｜CHINA</x:v>
      </x:c>
      <x:c r="I62" s="35" t="str"/>
      <x:c r="J62" s="35" t="str"/>
    </x:row>
    <x:row r="63">
      <x:c r="A63" s="17" t="n">
        <x:v>43</x:v>
      </x:c>
      <x:c r="B63" s="17" t="str">
        <x:v>Shu Liu</x:v>
      </x:c>
      <x:c r="C63" s="17" t="str"/>
      <x:c r="D63" s="17" t="n">
        <x:v>1</x:v>
      </x:c>
      <x:c r="E63" s="17" t="n">
        <x:v>0</x:v>
      </x:c>
      <x:c r="F63" s="17" t="n">
        <x:v>0</x:v>
      </x:c>
      <x:c r="G63" s="17" t="n">
        <x:v>1</x:v>
      </x:c>
      <x:c r="H63" s="16" t="str">
        <x:v>2014-10｜世界桥牌综合锦标赛｜Women Pairs 女子双人｜Tao Zhou – Shu Liu</x:v>
      </x:c>
      <x:c r="I63" s="16" t="str"/>
      <x:c r="J63" s="16" t="str"/>
    </x:row>
    <x:row r="64">
      <x:c r="A64" s="36" t="n">
        <x:v>43</x:v>
      </x:c>
      <x:c r="B64" s="36" t="str">
        <x:v>Sicheng Liu</x:v>
      </x:c>
      <x:c r="C64" s="36" t="str"/>
      <x:c r="D64" s="36" t="n">
        <x:v>1</x:v>
      </x:c>
      <x:c r="E64" s="36" t="n">
        <x:v>0</x:v>
      </x:c>
      <x:c r="F64" s="36" t="n">
        <x:v>0</x:v>
      </x:c>
      <x:c r="G64" s="36" t="n">
        <x:v>1</x:v>
      </x:c>
      <x:c r="H64" s="35" t="str">
        <x:v>2018-08-08—2018-08-18｜世界青年团体锦标赛｜U16 Teams｜CHINA3</x:v>
      </x:c>
      <x:c r="I64" s="35" t="str"/>
      <x:c r="J64" s="35" t="str"/>
    </x:row>
    <x:row r="65">
      <x:c r="A65" s="17" t="n">
        <x:v>43</x:v>
      </x:c>
      <x:c r="B65" s="17" t="str">
        <x:v>Sirui Chen</x:v>
      </x:c>
      <x:c r="C65" s="17" t="str"/>
      <x:c r="D65" s="17" t="n">
        <x:v>1</x:v>
      </x:c>
      <x:c r="E65" s="17" t="n">
        <x:v>0</x:v>
      </x:c>
      <x:c r="F65" s="17" t="n">
        <x:v>0</x:v>
      </x:c>
      <x:c r="G65" s="17" t="n">
        <x:v>1</x:v>
      </x:c>
      <x:c r="H65" s="16" t="str">
        <x:v>2023-07-31—2023-08-07｜第18届世界青年团体锦标赛｜U16 BAM｜CHINA</x:v>
      </x:c>
      <x:c r="I65" s="16" t="str"/>
      <x:c r="J65" s="16" t="str"/>
    </x:row>
    <x:row r="66">
      <x:c r="A66" s="36" t="n">
        <x:v>43</x:v>
      </x:c>
      <x:c r="B66" s="36" t="str">
        <x:v>Siyuan Liu</x:v>
      </x:c>
      <x:c r="C66" s="36" t="str"/>
      <x:c r="D66" s="36" t="n">
        <x:v>1</x:v>
      </x:c>
      <x:c r="E66" s="36" t="n">
        <x:v>0</x:v>
      </x:c>
      <x:c r="F66" s="36" t="n">
        <x:v>0</x:v>
      </x:c>
      <x:c r="G66" s="36" t="n">
        <x:v>1</x:v>
      </x:c>
      <x:c r="H66" s="35" t="str">
        <x:v>2015-08-20—2015-08-29｜第4届世界青年公开锦标赛｜U16 Teams / Kids Teams｜SX HYSW</x:v>
      </x:c>
      <x:c r="I66" s="35" t="str"/>
      <x:c r="J66" s="35" t="str"/>
    </x:row>
    <x:row r="67">
      <x:c r="A67" s="17" t="n">
        <x:v>43</x:v>
      </x:c>
      <x:c r="B67" s="17" t="str">
        <x:v>Sun Yanhui</x:v>
      </x:c>
      <x:c r="C67" s="17" t="str"/>
      <x:c r="D67" s="17" t="n">
        <x:v>1</x:v>
      </x:c>
      <x:c r="E67" s="17" t="n">
        <x:v>0</x:v>
      </x:c>
      <x:c r="F67" s="17" t="n">
        <x:v>0</x:v>
      </x:c>
      <x:c r="G67" s="17" t="n">
        <x:v>1</x:v>
      </x:c>
      <x:c r="H67" s="16" t="str">
        <x:v>2010-10｜世界桥牌综合锦标赛｜McConnell Cup 女子淘汰团体｜CHINA LADIES TEAM</x:v>
      </x:c>
      <x:c r="I67" s="16" t="str"/>
      <x:c r="J67" s="16" t="str"/>
    </x:row>
    <x:row r="68">
      <x:c r="A68" s="36" t="n">
        <x:v>43</x:v>
      </x:c>
      <x:c r="B68" s="36" t="str">
        <x:v>Tie Chen</x:v>
      </x:c>
      <x:c r="C68" s="36" t="str"/>
      <x:c r="D68" s="36" t="n">
        <x:v>1</x:v>
      </x:c>
      <x:c r="E68" s="36" t="n">
        <x:v>0</x:v>
      </x:c>
      <x:c r="F68" s="36" t="n">
        <x:v>0</x:v>
      </x:c>
      <x:c r="G68" s="36" t="n">
        <x:v>1</x:v>
      </x:c>
      <x:c r="H68" s="35" t="str">
        <x:v>2018-08-08—2018-08-18｜世界青年团体锦标赛｜U16 Teams｜CHINA3</x:v>
      </x:c>
      <x:c r="I68" s="35" t="str"/>
      <x:c r="J68" s="35" t="str"/>
    </x:row>
    <x:row r="69">
      <x:c r="A69" s="17" t="n">
        <x:v>43</x:v>
      </x:c>
      <x:c r="B69" s="17" t="str">
        <x:v>Wanyi Lian</x:v>
      </x:c>
      <x:c r="C69" s="17" t="str"/>
      <x:c r="D69" s="17" t="n">
        <x:v>1</x:v>
      </x:c>
      <x:c r="E69" s="17" t="n">
        <x:v>0</x:v>
      </x:c>
      <x:c r="F69" s="17" t="n">
        <x:v>0</x:v>
      </x:c>
      <x:c r="G69" s="17" t="n">
        <x:v>1</x:v>
      </x:c>
      <x:c r="H69" s="16" t="str">
        <x:v>2026-08-03—2026-08-08｜第9届世界青年跨国锦标赛｜U26 Women Pairs｜Wenjing Chen – Wanyi Lian</x:v>
      </x:c>
      <x:c r="I69" s="16" t="str"/>
      <x:c r="J69" s="16" t="str"/>
    </x:row>
    <x:row r="70">
      <x:c r="A70" s="36" t="n">
        <x:v>43</x:v>
      </x:c>
      <x:c r="B70" s="36" t="str">
        <x:v>Wei Wang</x:v>
      </x:c>
      <x:c r="C70" s="36" t="str"/>
      <x:c r="D70" s="36" t="n">
        <x:v>1</x:v>
      </x:c>
      <x:c r="E70" s="36" t="n">
        <x:v>0</x:v>
      </x:c>
      <x:c r="F70" s="36" t="n">
        <x:v>0</x:v>
      </x:c>
      <x:c r="G70" s="36" t="n">
        <x:v>1</x:v>
      </x:c>
      <x:c r="H70" s="35" t="str">
        <x:v>2026-08-03—2026-08-08｜第9届世界青年跨国锦标赛｜U31 Teams｜AGOOFANS</x:v>
      </x:c>
      <x:c r="I70" s="35" t="str"/>
      <x:c r="J70" s="35" t="str"/>
    </x:row>
    <x:row r="71">
      <x:c r="A71" s="17" t="n">
        <x:v>43</x:v>
      </x:c>
      <x:c r="B71" s="17" t="str">
        <x:v>Wenjing Chen</x:v>
      </x:c>
      <x:c r="C71" s="17" t="str"/>
      <x:c r="D71" s="17" t="n">
        <x:v>1</x:v>
      </x:c>
      <x:c r="E71" s="17" t="n">
        <x:v>0</x:v>
      </x:c>
      <x:c r="F71" s="17" t="n">
        <x:v>0</x:v>
      </x:c>
      <x:c r="G71" s="17" t="n">
        <x:v>1</x:v>
      </x:c>
      <x:c r="H71" s="16" t="str">
        <x:v>2026-08-03—2026-08-08｜第9届世界青年跨国锦标赛｜U26 Women Pairs｜Wenjing Chen – Wanyi Lian</x:v>
      </x:c>
      <x:c r="I71" s="16" t="str"/>
      <x:c r="J71" s="16" t="str"/>
    </x:row>
    <x:row r="72">
      <x:c r="A72" s="36" t="n">
        <x:v>43</x:v>
      </x:c>
      <x:c r="B72" s="36" t="str">
        <x:v>Xiao Xu</x:v>
      </x:c>
      <x:c r="C72" s="36" t="str"/>
      <x:c r="D72" s="36" t="n">
        <x:v>1</x:v>
      </x:c>
      <x:c r="E72" s="36" t="n">
        <x:v>0</x:v>
      </x:c>
      <x:c r="F72" s="36" t="n">
        <x:v>0</x:v>
      </x:c>
      <x:c r="G72" s="36" t="n">
        <x:v>1</x:v>
      </x:c>
      <x:c r="H72" s="35" t="str">
        <x:v>2026-08-03—2026-08-08｜第9届世界青年跨国锦标赛｜U16 Pairs｜Lepeng Shen – Xiao Xu</x:v>
      </x:c>
      <x:c r="I72" s="35" t="str"/>
      <x:c r="J72" s="35" t="str"/>
    </x:row>
    <x:row r="73">
      <x:c r="A73" s="17" t="n">
        <x:v>43</x:v>
      </x:c>
      <x:c r="B73" s="17" t="str">
        <x:v>Xiaoguang Yu</x:v>
      </x:c>
      <x:c r="C73" s="17" t="str"/>
      <x:c r="D73" s="17" t="n">
        <x:v>1</x:v>
      </x:c>
      <x:c r="E73" s="17" t="n">
        <x:v>0</x:v>
      </x:c>
      <x:c r="F73" s="17" t="n">
        <x:v>0</x:v>
      </x:c>
      <x:c r="G73" s="17" t="n">
        <x:v>1</x:v>
      </x:c>
      <x:c r="H73" s="16" t="str">
        <x:v>2019-09｜世界桥牌团体锦标赛｜Transnational Open Teams 跨国公开团体｜CHINA</x:v>
      </x:c>
      <x:c r="I73" s="16" t="str"/>
      <x:c r="J73" s="16" t="str"/>
    </x:row>
    <x:row r="74">
      <x:c r="A74" s="36" t="n">
        <x:v>43</x:v>
      </x:c>
      <x:c r="B74" s="36" t="str">
        <x:v>Xihong Dai</x:v>
      </x:c>
      <x:c r="C74" s="36" t="str"/>
      <x:c r="D74" s="36" t="n">
        <x:v>1</x:v>
      </x:c>
      <x:c r="E74" s="36" t="n">
        <x:v>0</x:v>
      </x:c>
      <x:c r="F74" s="36" t="n">
        <x:v>0</x:v>
      </x:c>
      <x:c r="G74" s="36" t="n">
        <x:v>1</x:v>
      </x:c>
      <x:c r="H74" s="35" t="str">
        <x:v>2018-08-08—2018-08-18｜世界青年团体锦标赛｜U16 Teams｜CHINA3</x:v>
      </x:c>
      <x:c r="I74" s="35" t="str"/>
      <x:c r="J74" s="35" t="str"/>
    </x:row>
    <x:row r="75">
      <x:c r="A75" s="17" t="n">
        <x:v>43</x:v>
      </x:c>
      <x:c r="B75" s="17" t="str">
        <x:v>Xinyi Ni</x:v>
      </x:c>
      <x:c r="C75" s="17" t="str"/>
      <x:c r="D75" s="17" t="n">
        <x:v>1</x:v>
      </x:c>
      <x:c r="E75" s="17" t="n">
        <x:v>0</x:v>
      </x:c>
      <x:c r="F75" s="17" t="n">
        <x:v>0</x:v>
      </x:c>
      <x:c r="G75" s="17" t="n">
        <x:v>1</x:v>
      </x:c>
      <x:c r="H75" s="16" t="str">
        <x:v>2018-08-08—2018-08-18｜世界青年团体锦标赛｜U26 Women Teams｜CHINA</x:v>
      </x:c>
      <x:c r="I75" s="16" t="str"/>
      <x:c r="J75" s="16" t="str"/>
    </x:row>
    <x:row r="76">
      <x:c r="A76" s="36" t="n">
        <x:v>43</x:v>
      </x:c>
      <x:c r="B76" s="36" t="str">
        <x:v>Xuanting He</x:v>
      </x:c>
      <x:c r="C76" s="36" t="str"/>
      <x:c r="D76" s="36" t="n">
        <x:v>1</x:v>
      </x:c>
      <x:c r="E76" s="36" t="n">
        <x:v>0</x:v>
      </x:c>
      <x:c r="F76" s="36" t="n">
        <x:v>0</x:v>
      </x:c>
      <x:c r="G76" s="36" t="n">
        <x:v>1</x:v>
      </x:c>
      <x:c r="H76" s="35" t="str">
        <x:v>2026-08-03—2026-08-08｜第9届世界青年跨国锦标赛｜U31 Teams｜AGOOFANS</x:v>
      </x:c>
      <x:c r="I76" s="35" t="str"/>
      <x:c r="J76" s="35" t="str"/>
    </x:row>
    <x:row r="77">
      <x:c r="A77" s="17" t="n">
        <x:v>43</x:v>
      </x:c>
      <x:c r="B77" s="17" t="str">
        <x:v>Xuchen Tang</x:v>
      </x:c>
      <x:c r="C77" s="17" t="str"/>
      <x:c r="D77" s="17" t="n">
        <x:v>1</x:v>
      </x:c>
      <x:c r="E77" s="17" t="n">
        <x:v>0</x:v>
      </x:c>
      <x:c r="F77" s="17" t="n">
        <x:v>0</x:v>
      </x:c>
      <x:c r="G77" s="17" t="n">
        <x:v>1</x:v>
      </x:c>
      <x:c r="H77" s="16" t="str">
        <x:v>2023-07-31—2023-08-07｜第18届世界青年团体锦标赛｜U16 BAM｜CHINA</x:v>
      </x:c>
      <x:c r="I77" s="16" t="str"/>
      <x:c r="J77" s="16" t="str"/>
    </x:row>
    <x:row r="78">
      <x:c r="A78" s="36" t="n">
        <x:v>43</x:v>
      </x:c>
      <x:c r="B78" s="36" t="str">
        <x:v>Xuefeng Feng</x:v>
      </x:c>
      <x:c r="C78" s="36" t="str"/>
      <x:c r="D78" s="36" t="n">
        <x:v>1</x:v>
      </x:c>
      <x:c r="E78" s="36" t="n">
        <x:v>0</x:v>
      </x:c>
      <x:c r="F78" s="36" t="n">
        <x:v>0</x:v>
      </x:c>
      <x:c r="G78" s="36" t="n">
        <x:v>1</x:v>
      </x:c>
      <x:c r="H78" s="35" t="str">
        <x:v>2010-10｜世界桥牌综合锦标赛｜McConnell Cup 女子淘汰团体｜CHINA LADIES TEAM</x:v>
      </x:c>
      <x:c r="I78" s="35" t="str"/>
      <x:c r="J78" s="35" t="str"/>
    </x:row>
    <x:row r="79">
      <x:c r="A79" s="17" t="n">
        <x:v>43</x:v>
      </x:c>
      <x:c r="B79" s="17" t="str">
        <x:v>Xuze Xu</x:v>
      </x:c>
      <x:c r="C79" s="17" t="str"/>
      <x:c r="D79" s="17" t="n">
        <x:v>1</x:v>
      </x:c>
      <x:c r="E79" s="17" t="n">
        <x:v>0</x:v>
      </x:c>
      <x:c r="F79" s="17" t="n">
        <x:v>0</x:v>
      </x:c>
      <x:c r="G79" s="17" t="n">
        <x:v>1</x:v>
      </x:c>
      <x:c r="H79" s="16" t="str">
        <x:v>2026-08-03—2026-08-08｜第9届世界青年跨国锦标赛｜U16 Teams｜NT TTAOQI</x:v>
      </x:c>
      <x:c r="I79" s="16" t="str"/>
      <x:c r="J79" s="16" t="str"/>
    </x:row>
    <x:row r="80">
      <x:c r="A80" s="36" t="n">
        <x:v>43</x:v>
      </x:c>
      <x:c r="B80" s="36" t="str">
        <x:v>Yang Yang</x:v>
      </x:c>
      <x:c r="C80" s="36" t="str"/>
      <x:c r="D80" s="36" t="n">
        <x:v>1</x:v>
      </x:c>
      <x:c r="E80" s="36" t="n">
        <x:v>0</x:v>
      </x:c>
      <x:c r="F80" s="36" t="n">
        <x:v>0</x:v>
      </x:c>
      <x:c r="G80" s="36" t="n">
        <x:v>1</x:v>
      </x:c>
      <x:c r="H80" s="35" t="str">
        <x:v>2018-08-08—2018-08-18｜世界青年团体锦标赛｜U26 Women Teams｜CHINA</x:v>
      </x:c>
      <x:c r="I80" s="35" t="str"/>
      <x:c r="J80" s="35" t="str"/>
    </x:row>
    <x:row r="81">
      <x:c r="A81" s="17" t="n">
        <x:v>43</x:v>
      </x:c>
      <x:c r="B81" s="17" t="str">
        <x:v>Yanhua Hu</x:v>
      </x:c>
      <x:c r="C81" s="17" t="str"/>
      <x:c r="D81" s="17" t="n">
        <x:v>1</x:v>
      </x:c>
      <x:c r="E81" s="17" t="n">
        <x:v>0</x:v>
      </x:c>
      <x:c r="F81" s="17" t="n">
        <x:v>0</x:v>
      </x:c>
      <x:c r="G81" s="17" t="n">
        <x:v>1</x:v>
      </x:c>
      <x:c r="H81" s="16" t="str">
        <x:v>2026-08-03—2026-08-08｜第9届世界青年跨国锦标赛｜U16 Teams｜NT TTAOQI</x:v>
      </x:c>
      <x:c r="I81" s="16" t="str"/>
      <x:c r="J81" s="16" t="str"/>
    </x:row>
    <x:row r="82">
      <x:c r="A82" s="36" t="n">
        <x:v>43</x:v>
      </x:c>
      <x:c r="B82" s="36" t="str">
        <x:v>Yanjia Hu</x:v>
      </x:c>
      <x:c r="C82" s="36" t="str"/>
      <x:c r="D82" s="36" t="n">
        <x:v>1</x:v>
      </x:c>
      <x:c r="E82" s="36" t="n">
        <x:v>0</x:v>
      </x:c>
      <x:c r="F82" s="36" t="n">
        <x:v>0</x:v>
      </x:c>
      <x:c r="G82" s="36" t="n">
        <x:v>1</x:v>
      </x:c>
      <x:c r="H82" s="35" t="str">
        <x:v>2026-08-03—2026-08-08｜第9届世界青年跨国锦标赛｜U16 Teams｜NT TTAOQI</x:v>
      </x:c>
      <x:c r="I82" s="35" t="str"/>
      <x:c r="J82" s="35" t="str"/>
    </x:row>
    <x:row r="83">
      <x:c r="A83" s="17" t="n">
        <x:v>43</x:v>
      </x:c>
      <x:c r="B83" s="17" t="str">
        <x:v>Yanzhuo Fu</x:v>
      </x:c>
      <x:c r="C83" s="17" t="str"/>
      <x:c r="D83" s="17" t="n">
        <x:v>1</x:v>
      </x:c>
      <x:c r="E83" s="17" t="n">
        <x:v>0</x:v>
      </x:c>
      <x:c r="F83" s="17" t="n">
        <x:v>0</x:v>
      </x:c>
      <x:c r="G83" s="17" t="n">
        <x:v>1</x:v>
      </x:c>
      <x:c r="H83" s="16" t="str">
        <x:v>2019-08-20—2019-08-29｜第6届世界青年公开锦标赛｜U16 Teams｜SXMARS</x:v>
      </x:c>
      <x:c r="I83" s="16" t="str"/>
      <x:c r="J83" s="16" t="str"/>
    </x:row>
    <x:row r="84">
      <x:c r="A84" s="36" t="n">
        <x:v>43</x:v>
      </x:c>
      <x:c r="B84" s="36" t="str">
        <x:v>Yichen Luo</x:v>
      </x:c>
      <x:c r="C84" s="36" t="str"/>
      <x:c r="D84" s="36" t="n">
        <x:v>1</x:v>
      </x:c>
      <x:c r="E84" s="36" t="n">
        <x:v>0</x:v>
      </x:c>
      <x:c r="F84" s="36" t="n">
        <x:v>0</x:v>
      </x:c>
      <x:c r="G84" s="36" t="n">
        <x:v>1</x:v>
      </x:c>
      <x:c r="H84" s="35" t="str">
        <x:v>2026-08-03—2026-08-08｜第9届世界青年跨国锦标赛｜U16 Teams｜NT TTAOQI</x:v>
      </x:c>
      <x:c r="I84" s="35" t="str"/>
      <x:c r="J84" s="35" t="str"/>
    </x:row>
    <x:row r="85">
      <x:c r="A85" s="17" t="n">
        <x:v>43</x:v>
      </x:c>
      <x:c r="B85" s="17" t="str">
        <x:v>Yide Luo</x:v>
      </x:c>
      <x:c r="C85" s="17" t="str"/>
      <x:c r="D85" s="17" t="n">
        <x:v>1</x:v>
      </x:c>
      <x:c r="E85" s="17" t="n">
        <x:v>0</x:v>
      </x:c>
      <x:c r="F85" s="17" t="n">
        <x:v>0</x:v>
      </x:c>
      <x:c r="G85" s="17" t="n">
        <x:v>1</x:v>
      </x:c>
      <x:c r="H85" s="16" t="str">
        <x:v>2019-09｜世界桥牌团体锦标赛｜Transnational Open Teams 跨国公开团体｜CHINA</x:v>
      </x:c>
      <x:c r="I85" s="16" t="str"/>
      <x:c r="J85" s="16" t="str"/>
    </x:row>
    <x:row r="86">
      <x:c r="A86" s="36" t="n">
        <x:v>43</x:v>
      </x:c>
      <x:c r="B86" s="36" t="str">
        <x:v>Yijing Cai</x:v>
      </x:c>
      <x:c r="C86" s="36" t="str"/>
      <x:c r="D86" s="36" t="n">
        <x:v>1</x:v>
      </x:c>
      <x:c r="E86" s="36" t="n">
        <x:v>0</x:v>
      </x:c>
      <x:c r="F86" s="36" t="n">
        <x:v>0</x:v>
      </x:c>
      <x:c r="G86" s="36" t="n">
        <x:v>1</x:v>
      </x:c>
      <x:c r="H86" s="35" t="str">
        <x:v>2018-08-08—2018-08-18｜世界青年团体锦标赛｜U26 Women Teams｜CHINA</x:v>
      </x:c>
      <x:c r="I86" s="35" t="str"/>
      <x:c r="J86" s="35" t="str"/>
    </x:row>
    <x:row r="87">
      <x:c r="A87" s="17" t="n">
        <x:v>43</x:v>
      </x:c>
      <x:c r="B87" s="17" t="str">
        <x:v>Yijun Shang</x:v>
      </x:c>
      <x:c r="C87" s="17" t="str"/>
      <x:c r="D87" s="17" t="n">
        <x:v>1</x:v>
      </x:c>
      <x:c r="E87" s="17" t="n">
        <x:v>0</x:v>
      </x:c>
      <x:c r="F87" s="17" t="n">
        <x:v>0</x:v>
      </x:c>
      <x:c r="G87" s="17" t="n">
        <x:v>1</x:v>
      </x:c>
      <x:c r="H87" s="16" t="str">
        <x:v>2015-08-20—2015-08-29｜第4届世界青年公开锦标赛｜U16 Teams / Kids Teams｜SX HYSW</x:v>
      </x:c>
      <x:c r="I87" s="16" t="str"/>
      <x:c r="J87" s="16" t="str"/>
    </x:row>
    <x:row r="88">
      <x:c r="A88" s="36" t="n">
        <x:v>43</x:v>
      </x:c>
      <x:c r="B88" s="36" t="str">
        <x:v>Yiping Lu</x:v>
      </x:c>
      <x:c r="C88" s="36" t="str"/>
      <x:c r="D88" s="36" t="n">
        <x:v>1</x:v>
      </x:c>
      <x:c r="E88" s="36" t="n">
        <x:v>0</x:v>
      </x:c>
      <x:c r="F88" s="36" t="n">
        <x:v>0</x:v>
      </x:c>
      <x:c r="G88" s="36" t="n">
        <x:v>1</x:v>
      </x:c>
      <x:c r="H88" s="35" t="str">
        <x:v>2018-08-08—2018-08-18｜世界青年团体锦标赛｜U16 Teams｜CHINA3</x:v>
      </x:c>
      <x:c r="I88" s="35" t="str"/>
      <x:c r="J88" s="35" t="str"/>
    </x:row>
    <x:row r="89">
      <x:c r="A89" s="17" t="n">
        <x:v>43</x:v>
      </x:c>
      <x:c r="B89" s="17" t="str">
        <x:v>Yiqin Shao</x:v>
      </x:c>
      <x:c r="C89" s="17" t="str"/>
      <x:c r="D89" s="17" t="n">
        <x:v>1</x:v>
      </x:c>
      <x:c r="E89" s="17" t="n">
        <x:v>0</x:v>
      </x:c>
      <x:c r="F89" s="17" t="n">
        <x:v>0</x:v>
      </x:c>
      <x:c r="G89" s="17" t="n">
        <x:v>1</x:v>
      </x:c>
      <x:c r="H89" s="16" t="str">
        <x:v>2015-08-20—2015-08-29｜第4届世界青年公开锦标赛｜U16 Teams / Kids Teams｜SX HYSW</x:v>
      </x:c>
      <x:c r="I89" s="16" t="str"/>
      <x:c r="J89" s="16" t="str"/>
    </x:row>
    <x:row r="90">
      <x:c r="A90" s="36" t="n">
        <x:v>43</x:v>
      </x:c>
      <x:c r="B90" s="36" t="str">
        <x:v>Yong Chen</x:v>
      </x:c>
      <x:c r="C90" s="36" t="str"/>
      <x:c r="D90" s="36" t="n">
        <x:v>1</x:v>
      </x:c>
      <x:c r="E90" s="36" t="n">
        <x:v>0</x:v>
      </x:c>
      <x:c r="F90" s="36" t="n">
        <x:v>0</x:v>
      </x:c>
      <x:c r="G90" s="36" t="n">
        <x:v>1</x:v>
      </x:c>
      <x:c r="H90" s="35" t="str">
        <x:v>2019-09｜世界桥牌团体锦标赛｜Transnational Open Teams 跨国公开团体｜CHINA</x:v>
      </x:c>
      <x:c r="I90" s="35" t="str"/>
      <x:c r="J90" s="35" t="str"/>
    </x:row>
    <x:row r="91">
      <x:c r="A91" s="17" t="n">
        <x:v>43</x:v>
      </x:c>
      <x:c r="B91" s="17" t="str">
        <x:v>Yong Lian</x:v>
      </x:c>
      <x:c r="C91" s="17" t="str"/>
      <x:c r="D91" s="17" t="n">
        <x:v>1</x:v>
      </x:c>
      <x:c r="E91" s="17" t="n">
        <x:v>0</x:v>
      </x:c>
      <x:c r="F91" s="17" t="n">
        <x:v>0</x:v>
      </x:c>
      <x:c r="G91" s="17" t="n">
        <x:v>1</x:v>
      </x:c>
      <x:c r="H91" s="16" t="str">
        <x:v>2019-09｜世界桥牌团体锦标赛｜Transnational Open Teams 跨国公开团体｜CHINA</x:v>
      </x:c>
      <x:c r="I91" s="16" t="str"/>
      <x:c r="J91" s="16" t="str"/>
    </x:row>
    <x:row r="92">
      <x:c r="A92" s="36" t="n">
        <x:v>43</x:v>
      </x:c>
      <x:c r="B92" s="36" t="str">
        <x:v>Yongling Dong</x:v>
      </x:c>
      <x:c r="C92" s="36" t="str">
        <x:v>董永灵</x:v>
      </x:c>
      <x:c r="D92" s="36" t="n">
        <x:v>1</x:v>
      </x:c>
      <x:c r="E92" s="36" t="n">
        <x:v>0</x:v>
      </x:c>
      <x:c r="F92" s="36" t="n">
        <x:v>0</x:v>
      </x:c>
      <x:c r="G92" s="36" t="n">
        <x:v>1</x:v>
      </x:c>
      <x:c r="H92" s="35" t="str">
        <x:v>2009-08-29—2009-09-12｜世界桥牌团体锦标赛｜Venice Cup 女子团体｜CHINA LONG ZHU</x:v>
      </x:c>
      <x:c r="I92" s="35" t="str"/>
      <x:c r="J92" s="35" t="str"/>
    </x:row>
    <x:row r="93">
      <x:c r="A93" s="17" t="n">
        <x:v>43</x:v>
      </x:c>
      <x:c r="B93" s="17" t="str">
        <x:v>Yuanzhe Niu</x:v>
      </x:c>
      <x:c r="C93" s="17" t="str"/>
      <x:c r="D93" s="17" t="n">
        <x:v>1</x:v>
      </x:c>
      <x:c r="E93" s="17" t="n">
        <x:v>0</x:v>
      </x:c>
      <x:c r="F93" s="17" t="n">
        <x:v>0</x:v>
      </x:c>
      <x:c r="G93" s="17" t="n">
        <x:v>1</x:v>
      </x:c>
      <x:c r="H93" s="16" t="str">
        <x:v>2017-08-15—2017-08-24｜第5届世界青年公开锦标赛｜U16 Teams / Kids Teams｜CHINA RDFZ GALAXY</x:v>
      </x:c>
      <x:c r="I93" s="16" t="str"/>
      <x:c r="J93" s="16" t="str"/>
    </x:row>
    <x:row r="94">
      <x:c r="A94" s="36" t="n">
        <x:v>43</x:v>
      </x:c>
      <x:c r="B94" s="36" t="str">
        <x:v>Yuyi Bu</x:v>
      </x:c>
      <x:c r="C94" s="36" t="str"/>
      <x:c r="D94" s="36" t="n">
        <x:v>1</x:v>
      </x:c>
      <x:c r="E94" s="36" t="n">
        <x:v>0</x:v>
      </x:c>
      <x:c r="F94" s="36" t="n">
        <x:v>0</x:v>
      </x:c>
      <x:c r="G94" s="36" t="n">
        <x:v>1</x:v>
      </x:c>
      <x:c r="H94" s="35" t="str">
        <x:v>2025-07-12—2025-07-17｜第19届世界青年团体锦标赛｜U16 BAM｜CHINA</x:v>
      </x:c>
      <x:c r="I94" s="35" t="str"/>
      <x:c r="J94" s="35" t="str"/>
    </x:row>
    <x:row r="95">
      <x:c r="A95" s="17" t="n">
        <x:v>43</x:v>
      </x:c>
      <x:c r="B95" s="17" t="str">
        <x:v>Zanchao Cui</x:v>
      </x:c>
      <x:c r="C95" s="17" t="str"/>
      <x:c r="D95" s="17" t="n">
        <x:v>1</x:v>
      </x:c>
      <x:c r="E95" s="17" t="n">
        <x:v>0</x:v>
      </x:c>
      <x:c r="F95" s="17" t="n">
        <x:v>0</x:v>
      </x:c>
      <x:c r="G95" s="17" t="n">
        <x:v>1</x:v>
      </x:c>
      <x:c r="H95" s="16" t="str">
        <x:v>2018-08-08—2018-08-18｜世界青年团体锦标赛｜U16 Teams｜CHINA3</x:v>
      </x:c>
      <x:c r="I95" s="16" t="str"/>
      <x:c r="J95" s="16" t="str"/>
    </x:row>
    <x:row r="96">
      <x:c r="A96" s="36" t="n">
        <x:v>43</x:v>
      </x:c>
      <x:c r="B96" s="36" t="str">
        <x:v>Zekun Zhu</x:v>
      </x:c>
      <x:c r="C96" s="36" t="str"/>
      <x:c r="D96" s="36" t="n">
        <x:v>1</x:v>
      </x:c>
      <x:c r="E96" s="36" t="n">
        <x:v>0</x:v>
      </x:c>
      <x:c r="F96" s="36" t="n">
        <x:v>0</x:v>
      </x:c>
      <x:c r="G96" s="36" t="n">
        <x:v>1</x:v>
      </x:c>
      <x:c r="H96" s="35" t="str">
        <x:v>2025-07-12—2025-07-17｜第19届世界青年团体锦标赛｜U16 BAM｜CHINA</x:v>
      </x:c>
      <x:c r="I96" s="35" t="str"/>
      <x:c r="J96" s="35" t="str"/>
    </x:row>
    <x:row r="97">
      <x:c r="A97" s="17" t="n">
        <x:v>43</x:v>
      </x:c>
      <x:c r="B97" s="17" t="str">
        <x:v>Zhaofeng Wang</x:v>
      </x:c>
      <x:c r="C97" s="17" t="str"/>
      <x:c r="D97" s="17" t="n">
        <x:v>1</x:v>
      </x:c>
      <x:c r="E97" s="17" t="n">
        <x:v>0</x:v>
      </x:c>
      <x:c r="F97" s="17" t="n">
        <x:v>0</x:v>
      </x:c>
      <x:c r="G97" s="17" t="n">
        <x:v>1</x:v>
      </x:c>
      <x:c r="H97" s="16" t="str">
        <x:v>2017-08-15—2017-08-24｜第5届世界青年公开锦标赛｜U16 Teams / Kids Teams｜CHINA RDFZ GALAXY</x:v>
      </x:c>
      <x:c r="I97" s="16" t="str"/>
      <x:c r="J97" s="16" t="str"/>
    </x:row>
    <x:row r="98">
      <x:c r="A98" s="36" t="n">
        <x:v>43</x:v>
      </x:c>
      <x:c r="B98" s="36" t="str">
        <x:v>Zhenhao Cai</x:v>
      </x:c>
      <x:c r="C98" s="36" t="str"/>
      <x:c r="D98" s="36" t="n">
        <x:v>1</x:v>
      </x:c>
      <x:c r="E98" s="36" t="n">
        <x:v>0</x:v>
      </x:c>
      <x:c r="F98" s="36" t="n">
        <x:v>0</x:v>
      </x:c>
      <x:c r="G98" s="36" t="n">
        <x:v>1</x:v>
      </x:c>
      <x:c r="H98" s="35" t="str">
        <x:v>2017-08-15—2017-08-24｜第5届世界青年公开锦标赛｜U16 Teams / Kids Teams｜CHINA RDFZ GALAXY</x:v>
      </x:c>
      <x:c r="I98" s="35" t="str"/>
      <x:c r="J98" s="35" t="str"/>
    </x:row>
    <x:row r="99">
      <x:c r="A99" s="17" t="n">
        <x:v>43</x:v>
      </x:c>
      <x:c r="B99" s="17" t="str">
        <x:v>Zhuxiongjie Gao</x:v>
      </x:c>
      <x:c r="C99" s="17" t="str"/>
      <x:c r="D99" s="17" t="n">
        <x:v>1</x:v>
      </x:c>
      <x:c r="E99" s="17" t="n">
        <x:v>0</x:v>
      </x:c>
      <x:c r="F99" s="17" t="n">
        <x:v>0</x:v>
      </x:c>
      <x:c r="G99" s="17" t="n">
        <x:v>1</x:v>
      </x:c>
      <x:c r="H99" s="16" t="str">
        <x:v>2019-08-20—2019-08-29｜第6届世界青年公开锦标赛｜U16 Teams｜SXMARS</x:v>
      </x:c>
      <x:c r="I99" s="16" t="str"/>
      <x:c r="J99" s="16" t="str"/>
    </x:row>
    <x:row r="100">
      <x:c r="A100" s="36" t="n">
        <x:v>43</x:v>
      </x:c>
      <x:c r="B100" s="36" t="str">
        <x:v>Zichen Wang</x:v>
      </x:c>
      <x:c r="C100" s="36" t="str"/>
      <x:c r="D100" s="36" t="n">
        <x:v>1</x:v>
      </x:c>
      <x:c r="E100" s="36" t="n">
        <x:v>0</x:v>
      </x:c>
      <x:c r="F100" s="36" t="n">
        <x:v>0</x:v>
      </x:c>
      <x:c r="G100" s="36" t="n">
        <x:v>1</x:v>
      </x:c>
      <x:c r="H100" s="35" t="str">
        <x:v>2018-08-08—2018-08-18｜世界青年团体锦标赛｜U16 Teams｜CHINA3</x:v>
      </x:c>
      <x:c r="I100" s="35" t="str"/>
      <x:c r="J100" s="35" t="str"/>
    </x:row>
    <x:row r="101">
      <x:c r="A101" s="17" t="n">
        <x:v>43</x:v>
      </x:c>
      <x:c r="B101" s="17" t="str">
        <x:v>Zicheng Wang</x:v>
      </x:c>
      <x:c r="C101" s="17" t="str"/>
      <x:c r="D101" s="17" t="n">
        <x:v>1</x:v>
      </x:c>
      <x:c r="E101" s="17" t="n">
        <x:v>0</x:v>
      </x:c>
      <x:c r="F101" s="17" t="n">
        <x:v>0</x:v>
      </x:c>
      <x:c r="G101" s="17" t="n">
        <x:v>1</x:v>
      </x:c>
      <x:c r="H101" s="16" t="str">
        <x:v>2019-08-20—2019-08-29｜第6届世界青年公开锦标赛｜U16 Teams｜SXMARS</x:v>
      </x:c>
      <x:c r="I101" s="16" t="str"/>
      <x:c r="J101" s="16" t="str"/>
    </x:row>
    <x:row r="102">
      <x:c r="A102" s="36" t="n">
        <x:v>43</x:v>
      </x:c>
      <x:c r="B102" s="36" t="str">
        <x:v>Ziqi Zhang</x:v>
      </x:c>
      <x:c r="C102" s="36" t="str"/>
      <x:c r="D102" s="36" t="n">
        <x:v>1</x:v>
      </x:c>
      <x:c r="E102" s="36" t="n">
        <x:v>0</x:v>
      </x:c>
      <x:c r="F102" s="36" t="n">
        <x:v>0</x:v>
      </x:c>
      <x:c r="G102" s="36" t="n">
        <x:v>1</x:v>
      </x:c>
      <x:c r="H102" s="35" t="str">
        <x:v>2023-07-31—2023-08-07｜第18届世界青年团体锦标赛｜U16 BAM｜CHINA</x:v>
      </x:c>
      <x:c r="I102" s="35" t="str"/>
      <x:c r="J102" s="35" t="str"/>
    </x:row>
    <x:row r="103">
      <x:c r="A103" s="17" t="n">
        <x:v>43</x:v>
      </x:c>
      <x:c r="B103" s="17" t="str">
        <x:v>Ziwen Zhao</x:v>
      </x:c>
      <x:c r="C103" s="17" t="str"/>
      <x:c r="D103" s="17" t="n">
        <x:v>1</x:v>
      </x:c>
      <x:c r="E103" s="17" t="n">
        <x:v>0</x:v>
      </x:c>
      <x:c r="F103" s="17" t="n">
        <x:v>0</x:v>
      </x:c>
      <x:c r="G103" s="17" t="n">
        <x:v>1</x:v>
      </x:c>
      <x:c r="H103" s="16" t="str">
        <x:v>2025-07-12—2025-07-17｜第19届世界青年团体锦标赛｜U16 BAM｜CHINA</x:v>
      </x:c>
      <x:c r="I103" s="16" t="str"/>
      <x:c r="J103" s="16" t="str"/>
    </x:row>
    <x:row r="104">
      <x:c r="A104" s="36" t="n">
        <x:v>43</x:v>
      </x:c>
      <x:c r="B104" s="36" t="str">
        <x:v>Ziyu Li</x:v>
      </x:c>
      <x:c r="C104" s="36" t="str"/>
      <x:c r="D104" s="36" t="n">
        <x:v>1</x:v>
      </x:c>
      <x:c r="E104" s="36" t="n">
        <x:v>0</x:v>
      </x:c>
      <x:c r="F104" s="36" t="n">
        <x:v>0</x:v>
      </x:c>
      <x:c r="G104" s="36" t="n">
        <x:v>1</x:v>
      </x:c>
      <x:c r="H104" s="35" t="str">
        <x:v>2026-08-03—2026-08-08｜第9届世界青年跨国锦标赛｜U31 Teams｜AGOOFANS</x:v>
      </x:c>
      <x:c r="I104" s="35" t="str"/>
      <x:c r="J104" s="35" t="str"/>
    </x:row>
    <x:row r="105">
      <x:c r="A105" s="17" t="n">
        <x:v>101</x:v>
      </x:c>
      <x:c r="B105" s="17" t="str">
        <x:v>Yu Zhang</x:v>
      </x:c>
      <x:c r="C105" s="17" t="str"/>
      <x:c r="D105" s="17" t="n">
        <x:v>0</x:v>
      </x:c>
      <x:c r="E105" s="17" t="n">
        <x:v>5</x:v>
      </x:c>
      <x:c r="F105" s="17" t="n">
        <x:v>1</x:v>
      </x:c>
      <x:c r="G105" s="17" t="n">
        <x:v>6</x:v>
      </x:c>
      <x:c r="H105" s="16" t="str"/>
      <x:c r="I105" s="16" t="str">
        <x:v>1996｜世界桥牌团体奥林匹克赛｜女子团体｜CHINA
1997｜世界桥牌团体锦标赛｜Venice Cup 女子团体｜CHINA
2003｜世界桥牌团体锦标赛｜Venice Cup 女子团体｜CHINA
2014-10｜世界桥牌综合锦标赛｜Mixed Teams 混合团体｜CHINA
2014-10｜世界桥牌综合锦标赛｜Women Teams 女子团体｜CHINA</x:v>
      </x:c>
      <x:c r="J105" s="16" t="str">
        <x:v>2019-09｜世界桥牌团体锦标赛｜Transnational Open Teams 跨国公开团体｜CHINA</x:v>
      </x:c>
    </x:row>
    <x:row r="106">
      <x:c r="A106" s="36" t="n">
        <x:v>102</x:v>
      </x:c>
      <x:c r="B106" s="36" t="str">
        <x:v>Yalan Zhang</x:v>
      </x:c>
      <x:c r="C106" s="36" t="str"/>
      <x:c r="D106" s="36" t="n">
        <x:v>0</x:v>
      </x:c>
      <x:c r="E106" s="36" t="n">
        <x:v>4</x:v>
      </x:c>
      <x:c r="F106" s="36" t="n">
        <x:v>3</x:v>
      </x:c>
      <x:c r="G106" s="36" t="n">
        <x:v>7</x:v>
      </x:c>
      <x:c r="H106" s="35" t="str"/>
      <x:c r="I106" s="35" t="str">
        <x:v>1996｜世界桥牌团体奥林匹克赛｜女子团体｜CHINA
1997｜世界桥牌团体锦标赛｜Venice Cup 女子团体｜CHINA
2003｜世界桥牌团体锦标赛｜Venice Cup 女子团体｜CHINA
2008-10-03—2008-10-18｜第1届世界智力运动会 / 世界桥牌运动会｜Women Teams 女子团体｜CHINA</x:v>
      </x:c>
      <x:c r="J106" s="35" t="str">
        <x:v>1991｜世界桥牌团体锦标赛｜Venice Cup 女子团体｜CHINA
2007｜世界桥牌团体锦标赛｜Venice Cup 女子团体｜CHINA
2015｜世界桥牌团体锦标赛｜Transnational Open Teams 跨国公开团体｜TRANSNATIONAL TEAM</x:v>
      </x:c>
    </x:row>
    <x:row r="107">
      <x:c r="A107" s="17" t="n">
        <x:v>103</x:v>
      </x:c>
      <x:c r="B107" s="17" t="str">
        <x:v>Yichao Chen</x:v>
      </x:c>
      <x:c r="C107" s="17" t="str">
        <x:v>陈一超</x:v>
      </x:c>
      <x:c r="D107" s="17" t="n">
        <x:v>0</x:v>
      </x:c>
      <x:c r="E107" s="17" t="n">
        <x:v>2</x:v>
      </x:c>
      <x:c r="F107" s="17" t="n">
        <x:v>3</x:v>
      </x:c>
      <x:c r="G107" s="17" t="n">
        <x:v>5</x:v>
      </x:c>
      <x:c r="H107" s="16" t="str"/>
      <x:c r="I107" s="16" t="str">
        <x:v>2024-10-22—2024-11-03｜第16届世界桥牌运动会｜Mixed Teams 混合团体｜CHINA
2025-08-20—2025-08-31｜第47届世界桥牌团体锦标赛｜Wuhan Cup 混合团体｜CHINA</x:v>
      </x:c>
      <x:c r="J107" s="16" t="str">
        <x:v>2008-10-03—2008-10-18｜第1届世界智力运动会 / 世界桥牌运动会｜U21 Teams 青年团体｜CHINA
2010-10｜世界青年团体锦标赛｜U26 Teams｜CHINA
2012-07-25—2012-08-04｜世界青年团体锦标赛｜U26 Teams｜CHINA</x:v>
      </x:c>
    </x:row>
    <x:row r="108">
      <x:c r="A108" s="36" t="n">
        <x:v>104</x:v>
      </x:c>
      <x:c r="B108" s="36" t="str">
        <x:v>Jian Ming Dai</x:v>
      </x:c>
      <x:c r="C108" s="36" t="str"/>
      <x:c r="D108" s="36" t="n">
        <x:v>0</x:v>
      </x:c>
      <x:c r="E108" s="36" t="n">
        <x:v>2</x:v>
      </x:c>
      <x:c r="F108" s="36" t="n">
        <x:v>2</x:v>
      </x:c>
      <x:c r="G108" s="36" t="n">
        <x:v>4</x:v>
      </x:c>
      <x:c r="H108" s="35" t="str"/>
      <x:c r="I108" s="35" t="str">
        <x:v>2013｜世界桥牌团体锦标赛｜Transnational Open Teams 跨国公开团体｜CHINA
2014-10｜世界桥牌综合锦标赛｜Mixed Teams 混合团体｜CHINA</x:v>
      </x:c>
      <x:c r="J108" s="35" t="str">
        <x:v>2012｜世界桥牌运动会｜Transnational Mixed Teams 跨国混合团体｜CHINA
2019-09｜世界桥牌团体锦标赛｜Transnational Open Teams 跨国公开团体｜CHINA</x:v>
      </x:c>
    </x:row>
    <x:row r="109">
      <x:c r="A109" s="17" t="n">
        <x:v>104</x:v>
      </x:c>
      <x:c r="B109" s="17" t="str">
        <x:v>Jing Rong Ran</x:v>
      </x:c>
      <x:c r="C109" s="17" t="str"/>
      <x:c r="D109" s="17" t="n">
        <x:v>0</x:v>
      </x:c>
      <x:c r="E109" s="17" t="n">
        <x:v>2</x:v>
      </x:c>
      <x:c r="F109" s="17" t="n">
        <x:v>2</x:v>
      </x:c>
      <x:c r="G109" s="17" t="n">
        <x:v>4</x:v>
      </x:c>
      <x:c r="H109" s="16" t="str"/>
      <x:c r="I109" s="16" t="str">
        <x:v>2014-10｜世界桥牌综合锦标赛｜Women Teams 女子团体｜CHINA
2025-08-20—2025-08-31｜第47届世界桥牌团体锦标赛｜Wuhan Cup 混合团体｜CHINA</x:v>
      </x:c>
      <x:c r="J109" s="16" t="str">
        <x:v>2019-09｜世界桥牌团体锦标赛｜Transnational Open Teams 跨国公开团体｜CHINA
2023-08｜世界桥牌团体锦标赛｜Venice Cup 女子团体｜CHINA</x:v>
      </x:c>
    </x:row>
    <x:row r="110">
      <x:c r="A110" s="36" t="n">
        <x:v>104</x:v>
      </x:c>
      <x:c r="B110" s="36" t="str">
        <x:v>Liping Wang</x:v>
      </x:c>
      <x:c r="C110" s="36" t="str"/>
      <x:c r="D110" s="36" t="n">
        <x:v>0</x:v>
      </x:c>
      <x:c r="E110" s="36" t="n">
        <x:v>2</x:v>
      </x:c>
      <x:c r="F110" s="36" t="n">
        <x:v>2</x:v>
      </x:c>
      <x:c r="G110" s="36" t="n">
        <x:v>4</x:v>
      </x:c>
      <x:c r="H110" s="35" t="str"/>
      <x:c r="I110" s="35" t="str">
        <x:v>2003｜世界桥牌团体锦标赛｜Venice Cup 女子团体｜CHINA
2014-10｜世界桥牌综合锦标赛｜Mixed Teams 混合团体｜CHINA</x:v>
      </x:c>
      <x:c r="J110" s="35" t="str">
        <x:v>2004｜世界桥牌奥林匹克赛｜Transnational Mixed Teams 跨国混合团体｜CHINA
2012｜世界桥牌运动会｜Transnational Mixed Teams 跨国混合团体｜CHINA</x:v>
      </x:c>
    </x:row>
    <x:row r="111">
      <x:c r="A111" s="17" t="n">
        <x:v>104</x:v>
      </x:c>
      <x:c r="B111" s="17" t="str">
        <x:v>Randy Pan</x:v>
      </x:c>
      <x:c r="C111" s="17" t="str"/>
      <x:c r="D111" s="17" t="n">
        <x:v>0</x:v>
      </x:c>
      <x:c r="E111" s="17" t="n">
        <x:v>2</x:v>
      </x:c>
      <x:c r="F111" s="17" t="n">
        <x:v>2</x:v>
      </x:c>
      <x:c r="G111" s="17" t="n">
        <x:v>4</x:v>
      </x:c>
      <x:c r="H111" s="16" t="str"/>
      <x:c r="I111" s="16" t="str">
        <x:v>2015-08-20—2015-08-29｜第4届世界青年公开锦标赛｜U16 Teams / Kids Teams｜CHINA RDFZ1
2018-08-08—2018-08-18｜世界青年团体锦标赛｜Youth BAM｜CHINA YOUNGSTERS</x:v>
      </x:c>
      <x:c r="J111" s="16" t="str">
        <x:v>2014-08-13—2014-08-23｜世界青年团体锦标赛｜U16 Teams｜CHINA
2017-08-15—2017-08-24｜第5届世界青年公开锦标赛｜U21 Teams / Youngsters Teams｜CHINA</x:v>
      </x:c>
    </x:row>
    <x:row r="112">
      <x:c r="A112" s="36" t="n">
        <x:v>104</x:v>
      </x:c>
      <x:c r="B112" s="36" t="str">
        <x:v>Yinghao Liu</x:v>
      </x:c>
      <x:c r="C112" s="36" t="str">
        <x:v>刘英皓</x:v>
      </x:c>
      <x:c r="D112" s="36" t="n">
        <x:v>0</x:v>
      </x:c>
      <x:c r="E112" s="36" t="n">
        <x:v>2</x:v>
      </x:c>
      <x:c r="F112" s="36" t="n">
        <x:v>2</x:v>
      </x:c>
      <x:c r="G112" s="36" t="n">
        <x:v>4</x:v>
      </x:c>
      <x:c r="H112" s="35" t="str"/>
      <x:c r="I112" s="35" t="str">
        <x:v>2024-10-22—2024-11-03｜第16届世界桥牌运动会｜Mixed Teams 混合团体｜CHINA
2025-08-20—2025-08-31｜第47届世界桥牌团体锦标赛｜Wuhan Cup 混合团体｜CHINA</x:v>
      </x:c>
      <x:c r="J112" s="35" t="str">
        <x:v>2008-10-03—2008-10-18｜第1届世界智力运动会 / 世界桥牌运动会｜U28 Teams 青年团体｜CHINA
2010-10｜世界青年团体锦标赛｜U26 Teams｜CHINA</x:v>
      </x:c>
    </x:row>
    <x:row r="113">
      <x:c r="A113" s="17" t="n">
        <x:v>104</x:v>
      </x:c>
      <x:c r="B113" s="17" t="str">
        <x:v>Zejun Zhuang</x:v>
      </x:c>
      <x:c r="C113" s="17" t="str"/>
      <x:c r="D113" s="17" t="n">
        <x:v>0</x:v>
      </x:c>
      <x:c r="E113" s="17" t="n">
        <x:v>2</x:v>
      </x:c>
      <x:c r="F113" s="17" t="n">
        <x:v>2</x:v>
      </x:c>
      <x:c r="G113" s="17" t="n">
        <x:v>4</x:v>
      </x:c>
      <x:c r="H113" s="16" t="str"/>
      <x:c r="I113" s="16" t="str">
        <x:v>2003｜世界桥牌团体锦标赛｜Transnational Open Teams 跨国公开团体｜CHINA
2013｜世界桥牌团体锦标赛｜Transnational Open Teams 跨国公开团体｜CHINA</x:v>
      </x:c>
      <x:c r="J113" s="16" t="str">
        <x:v>2012｜世界桥牌运动会｜Transnational Mixed Teams 跨国混合团体｜CHINA
2014-10｜世界桥牌综合锦标赛｜Mixed Teams 混合团体｜CHINA</x:v>
      </x:c>
    </x:row>
    <x:row r="114">
      <x:c r="A114" s="36" t="n">
        <x:v>110</x:v>
      </x:c>
      <x:c r="B114" s="36" t="str">
        <x:v>Li Xin Yang</x:v>
      </x:c>
      <x:c r="C114" s="36" t="str"/>
      <x:c r="D114" s="36" t="n">
        <x:v>0</x:v>
      </x:c>
      <x:c r="E114" s="36" t="n">
        <x:v>2</x:v>
      </x:c>
      <x:c r="F114" s="36" t="n">
        <x:v>1</x:v>
      </x:c>
      <x:c r="G114" s="36" t="n">
        <x:v>3</x:v>
      </x:c>
      <x:c r="H114" s="35" t="str"/>
      <x:c r="I114" s="35" t="str">
        <x:v>2013｜世界桥牌团体锦标赛｜Transnational Open Teams 跨国公开团体｜CHINA
2014-10｜世界桥牌综合锦标赛｜Mixed Teams 混合团体｜CHINA</x:v>
      </x:c>
      <x:c r="J114" s="35" t="str">
        <x:v>2019-09｜世界桥牌团体锦标赛｜Transnational Open Teams 跨国公开团体｜CHINA</x:v>
      </x:c>
    </x:row>
    <x:row r="115">
      <x:c r="A115" s="17" t="n">
        <x:v>110</x:v>
      </x:c>
      <x:c r="B115" s="17" t="str">
        <x:v>Xiaoxue Zuo</x:v>
      </x:c>
      <x:c r="C115" s="17" t="str">
        <x:v>左晓雪</x:v>
      </x:c>
      <x:c r="D115" s="17" t="n">
        <x:v>0</x:v>
      </x:c>
      <x:c r="E115" s="17" t="n">
        <x:v>2</x:v>
      </x:c>
      <x:c r="F115" s="17" t="n">
        <x:v>1</x:v>
      </x:c>
      <x:c r="G115" s="17" t="n">
        <x:v>3</x:v>
      </x:c>
      <x:c r="H115" s="16" t="str"/>
      <x:c r="I115" s="16" t="str">
        <x:v>2019-09｜世界桥牌团体锦标赛｜Venice Cup 女子团体｜CHINA
2025-08-20—2025-08-31｜第47届世界桥牌团体锦标赛｜Venice Cup 女子团体｜CHINA</x:v>
      </x:c>
      <x:c r="J115" s="16" t="str">
        <x:v>2023-08｜世界桥牌团体锦标赛｜Venice Cup 女子团体｜CHINA</x:v>
      </x:c>
    </x:row>
    <x:row r="116">
      <x:c r="A116" s="36" t="n">
        <x:v>112</x:v>
      </x:c>
      <x:c r="B116" s="36" t="str">
        <x:v>Penghao Wang</x:v>
      </x:c>
      <x:c r="C116" s="36" t="str"/>
      <x:c r="D116" s="36" t="n">
        <x:v>0</x:v>
      </x:c>
      <x:c r="E116" s="36" t="n">
        <x:v>1</x:v>
      </x:c>
      <x:c r="F116" s="36" t="n">
        <x:v>4</x:v>
      </x:c>
      <x:c r="G116" s="36" t="n">
        <x:v>5</x:v>
      </x:c>
      <x:c r="H116" s="35" t="str"/>
      <x:c r="I116" s="35" t="str">
        <x:v>2016-08-03—2016-08-13｜世界青年团体锦标赛｜U16 Teams｜CHINA2</x:v>
      </x:c>
      <x:c r="J116" s="35" t="str">
        <x:v>2017-08-15—2017-08-24｜第5届世界青年公开锦标赛｜U16 BAM｜SHENGXING SATURN
2017-08-15—2017-08-24｜第5届世界青年公开锦标赛｜U16 Pairs / Kids Pairs｜Licong Cheng – Penghao Wang
2017-08-15—2017-08-24｜第5届世界青年公开锦标赛｜U16 Teams / Kids Teams｜SHENGXING SATURN
2019-08-20—2019-08-29｜第6届世界青年公开锦标赛｜Youth BAM｜SXNEBULA</x:v>
      </x:c>
    </x:row>
    <x:row r="117">
      <x:c r="A117" s="17" t="n">
        <x:v>113</x:v>
      </x:c>
      <x:c r="B117" s="17" t="str">
        <x:v>Ruizhe Wang</x:v>
      </x:c>
      <x:c r="C117" s="17" t="str"/>
      <x:c r="D117" s="17" t="n">
        <x:v>0</x:v>
      </x:c>
      <x:c r="E117" s="17" t="n">
        <x:v>1</x:v>
      </x:c>
      <x:c r="F117" s="17" t="n">
        <x:v>3</x:v>
      </x:c>
      <x:c r="G117" s="17" t="n">
        <x:v>4</x:v>
      </x:c>
      <x:c r="H117" s="16" t="str"/>
      <x:c r="I117" s="16" t="str">
        <x:v>2016-08-03—2016-08-13｜世界青年团体锦标赛｜U16 Teams｜CHINA2</x:v>
      </x:c>
      <x:c r="J117" s="16" t="str">
        <x:v>2015-08-20—2015-08-29｜第4届世界青年公开锦标赛｜U16 Teams / Kids Teams｜SX XNWY
2017-08-15—2017-08-24｜第5届世界青年公开锦标赛｜U16 BAM｜SHENGXING SATURN
2017-08-15—2017-08-24｜第5届世界青年公开锦标赛｜U16 Teams / Kids Teams｜SHENGXING SATURN</x:v>
      </x:c>
    </x:row>
    <x:row r="118">
      <x:c r="A118" s="36" t="n">
        <x:v>114</x:v>
      </x:c>
      <x:c r="B118" s="36" t="str">
        <x:v>Mao Yuan Hu</x:v>
      </x:c>
      <x:c r="C118" s="36" t="str"/>
      <x:c r="D118" s="36" t="n">
        <x:v>0</x:v>
      </x:c>
      <x:c r="E118" s="36" t="n">
        <x:v>1</x:v>
      </x:c>
      <x:c r="F118" s="36" t="n">
        <x:v>2</x:v>
      </x:c>
      <x:c r="G118" s="36" t="n">
        <x:v>3</x:v>
      </x:c>
      <x:c r="H118" s="35" t="str"/>
      <x:c r="I118" s="35" t="str">
        <x:v>2013｜世界桥牌团体锦标赛｜Transnational Open Teams 跨国公开团体｜CHINA</x:v>
      </x:c>
      <x:c r="J118" s="35" t="str">
        <x:v>2012｜世界桥牌运动会｜Transnational Mixed Teams 跨国混合团体｜CHINA
2014-10｜世界桥牌综合锦标赛｜Mixed Teams 混合团体｜CHINA</x:v>
      </x:c>
    </x:row>
    <x:row r="119">
      <x:c r="A119" s="17" t="n">
        <x:v>114</x:v>
      </x:c>
      <x:c r="B119" s="17" t="str">
        <x:v>Weimin Wang</x:v>
      </x:c>
      <x:c r="C119" s="17" t="str"/>
      <x:c r="D119" s="17" t="n">
        <x:v>0</x:v>
      </x:c>
      <x:c r="E119" s="17" t="n">
        <x:v>1</x:v>
      </x:c>
      <x:c r="F119" s="17" t="n">
        <x:v>2</x:v>
      </x:c>
      <x:c r="G119" s="17" t="n">
        <x:v>3</x:v>
      </x:c>
      <x:c r="H119" s="16" t="str"/>
      <x:c r="I119" s="16" t="str">
        <x:v>2003｜世界桥牌团体锦标赛｜Transnational Open Teams 跨国公开团体｜CHINA</x:v>
      </x:c>
      <x:c r="J119" s="16" t="str">
        <x:v>2004｜世界桥牌奥林匹克赛｜Transnational Mixed Teams 跨国混合团体｜CHINA
2014-10｜世界桥牌综合锦标赛｜Mixed Teams 混合团体｜CHINA</x:v>
      </x:c>
    </x:row>
    <x:row r="120">
      <x:c r="A120" s="36" t="n">
        <x:v>114</x:v>
      </x:c>
      <x:c r="B120" s="36" t="str">
        <x:v>Yuekai Yang</x:v>
      </x:c>
      <x:c r="C120" s="36" t="str"/>
      <x:c r="D120" s="36" t="n">
        <x:v>0</x:v>
      </x:c>
      <x:c r="E120" s="36" t="n">
        <x:v>1</x:v>
      </x:c>
      <x:c r="F120" s="36" t="n">
        <x:v>2</x:v>
      </x:c>
      <x:c r="G120" s="36" t="n">
        <x:v>3</x:v>
      </x:c>
      <x:c r="H120" s="35" t="str"/>
      <x:c r="I120" s="35" t="str">
        <x:v>2026-08-03—2026-08-08｜第9届世界青年跨国锦标赛｜U21 Teams｜CHINA RDFZ BAXI</x:v>
      </x:c>
      <x:c r="J120" s="35" t="str">
        <x:v>2024-07-13—2024-07-18｜第8届世界青年跨国锦标赛｜U21 Teams｜RDFZ B (CHN/USA)
2026-08-03—2026-08-08｜第9届世界青年跨国锦标赛｜U21 Pairs｜Che Han – Yuekai Yang</x:v>
      </x:c>
    </x:row>
    <x:row r="121">
      <x:c r="A121" s="17" t="n">
        <x:v>114</x:v>
      </x:c>
      <x:c r="B121" s="17" t="str">
        <x:v>Zhiyu Cheng</x:v>
      </x:c>
      <x:c r="C121" s="17" t="str"/>
      <x:c r="D121" s="17" t="n">
        <x:v>0</x:v>
      </x:c>
      <x:c r="E121" s="17" t="n">
        <x:v>1</x:v>
      </x:c>
      <x:c r="F121" s="17" t="n">
        <x:v>2</x:v>
      </x:c>
      <x:c r="G121" s="17" t="n">
        <x:v>3</x:v>
      </x:c>
      <x:c r="H121" s="16" t="str"/>
      <x:c r="I121" s="16" t="str">
        <x:v>2018-08-08—2018-08-18｜世界青年团体锦标赛｜Youth BAM｜CHINA YOUNGSTERS</x:v>
      </x:c>
      <x:c r="J121" s="16" t="str">
        <x:v>2014-08-13—2014-08-23｜世界青年团体锦标赛｜U16 Teams｜CHINA
2017-08-15—2017-08-24｜第5届世界青年公开锦标赛｜U21 Teams / Youngsters Teams｜CHINA</x:v>
      </x:c>
    </x:row>
    <x:row r="122">
      <x:c r="A122" s="36" t="n">
        <x:v>118</x:v>
      </x:c>
      <x:c r="B122" s="36" t="str">
        <x:v>Che Han</x:v>
      </x:c>
      <x:c r="C122" s="36" t="str"/>
      <x:c r="D122" s="36" t="n">
        <x:v>0</x:v>
      </x:c>
      <x:c r="E122" s="36" t="n">
        <x:v>1</x:v>
      </x:c>
      <x:c r="F122" s="36" t="n">
        <x:v>1</x:v>
      </x:c>
      <x:c r="G122" s="36" t="n">
        <x:v>2</x:v>
      </x:c>
      <x:c r="H122" s="35" t="str"/>
      <x:c r="I122" s="35" t="str">
        <x:v>2026-08-03—2026-08-08｜第9届世界青年跨国锦标赛｜U21 Teams｜CHINA RDFZ BAXI</x:v>
      </x:c>
      <x:c r="J122" s="35" t="str">
        <x:v>2026-08-03—2026-08-08｜第9届世界青年跨国锦标赛｜U21 Pairs｜Che Han – Yuekai Yang</x:v>
      </x:c>
    </x:row>
    <x:row r="123">
      <x:c r="A123" s="17" t="n">
        <x:v>118</x:v>
      </x:c>
      <x:c r="B123" s="17" t="str">
        <x:v>Hanxi Ma</x:v>
      </x:c>
      <x:c r="C123" s="17" t="str"/>
      <x:c r="D123" s="17" t="n">
        <x:v>0</x:v>
      </x:c>
      <x:c r="E123" s="17" t="n">
        <x:v>1</x:v>
      </x:c>
      <x:c r="F123" s="17" t="n">
        <x:v>1</x:v>
      </x:c>
      <x:c r="G123" s="17" t="n">
        <x:v>2</x:v>
      </x:c>
      <x:c r="H123" s="16" t="str"/>
      <x:c r="I123" s="16" t="str">
        <x:v>2026-08-03—2026-08-08｜第9届世界青年跨国锦标赛｜U26 Teams｜REIGNWOOD JUNIORS</x:v>
      </x:c>
      <x:c r="J123" s="16" t="str">
        <x:v>2024-07-13—2024-07-18｜第8届世界青年跨国锦标赛｜U21 Teams｜RDFZ B (CHN/USA)</x:v>
      </x:c>
    </x:row>
    <x:row r="124">
      <x:c r="A124" s="36" t="n">
        <x:v>118</x:v>
      </x:c>
      <x:c r="B124" s="36" t="str">
        <x:v>Haoqing Yu</x:v>
      </x:c>
      <x:c r="C124" s="36" t="str"/>
      <x:c r="D124" s="36" t="n">
        <x:v>0</x:v>
      </x:c>
      <x:c r="E124" s="36" t="n">
        <x:v>1</x:v>
      </x:c>
      <x:c r="F124" s="36" t="n">
        <x:v>1</x:v>
      </x:c>
      <x:c r="G124" s="36" t="n">
        <x:v>2</x:v>
      </x:c>
      <x:c r="H124" s="35" t="str"/>
      <x:c r="I124" s="35" t="str">
        <x:v>2015-08-20—2015-08-29｜第4届世界青年公开锦标赛｜U16 Teams / Kids Teams｜CHINA RDFZ1</x:v>
      </x:c>
      <x:c r="J124" s="35" t="str">
        <x:v>2017-08-15—2017-08-24｜第5届世界青年公开锦标赛｜U21 Teams / Youngsters Teams｜CHINA</x:v>
      </x:c>
    </x:row>
    <x:row r="125">
      <x:c r="A125" s="17" t="n">
        <x:v>118</x:v>
      </x:c>
      <x:c r="B125" s="17" t="str">
        <x:v>Jiaxin Tong</x:v>
      </x:c>
      <x:c r="C125" s="17" t="str"/>
      <x:c r="D125" s="17" t="n">
        <x:v>0</x:v>
      </x:c>
      <x:c r="E125" s="17" t="n">
        <x:v>1</x:v>
      </x:c>
      <x:c r="F125" s="17" t="n">
        <x:v>1</x:v>
      </x:c>
      <x:c r="G125" s="17" t="n">
        <x:v>2</x:v>
      </x:c>
      <x:c r="H125" s="16" t="str"/>
      <x:c r="I125" s="16" t="str">
        <x:v>2017-08-15—2017-08-24｜第5届世界青年公开锦标赛｜U21 Teams / Youngsters Teams｜SHENGXING TEAM</x:v>
      </x:c>
      <x:c r="J125" s="16" t="str">
        <x:v>2015-08-20—2015-08-29｜第4届世界青年公开锦标赛｜U16 Teams / Kids Teams｜SX XNWY</x:v>
      </x:c>
    </x:row>
    <x:row r="126">
      <x:c r="A126" s="36" t="n">
        <x:v>118</x:v>
      </x:c>
      <x:c r="B126" s="36" t="str">
        <x:v>Jixiao Han</x:v>
      </x:c>
      <x:c r="C126" s="36" t="str"/>
      <x:c r="D126" s="36" t="n">
        <x:v>0</x:v>
      </x:c>
      <x:c r="E126" s="36" t="n">
        <x:v>1</x:v>
      </x:c>
      <x:c r="F126" s="36" t="n">
        <x:v>1</x:v>
      </x:c>
      <x:c r="G126" s="36" t="n">
        <x:v>2</x:v>
      </x:c>
      <x:c r="H126" s="35" t="str"/>
      <x:c r="I126" s="35" t="str">
        <x:v>2026-08-03—2026-08-08｜第9届世界青年跨国锦标赛｜U31 Teams｜CHINA U31</x:v>
      </x:c>
      <x:c r="J126" s="35" t="str">
        <x:v>2026-08-03—2026-08-08｜第9届世界青年跨国锦标赛｜U31 Pairs｜Jixiao Han – Zian Wang</x:v>
      </x:c>
    </x:row>
    <x:row r="127">
      <x:c r="A127" s="17" t="n">
        <x:v>118</x:v>
      </x:c>
      <x:c r="B127" s="17" t="str">
        <x:v>Ling Gan</x:v>
      </x:c>
      <x:c r="C127" s="17" t="str"/>
      <x:c r="D127" s="17" t="n">
        <x:v>0</x:v>
      </x:c>
      <x:c r="E127" s="17" t="n">
        <x:v>1</x:v>
      </x:c>
      <x:c r="F127" s="17" t="n">
        <x:v>1</x:v>
      </x:c>
      <x:c r="G127" s="17" t="n">
        <x:v>2</x:v>
      </x:c>
      <x:c r="H127" s="16" t="str"/>
      <x:c r="I127" s="16" t="str">
        <x:v>2014-10｜世界桥牌综合锦标赛｜Women Pairs 女子双人｜Yan Huang – Ling Gan</x:v>
      </x:c>
      <x:c r="J127" s="16" t="str">
        <x:v>2008-10-03—2008-10-18｜第1届世界智力运动会 / 世界桥牌运动会｜Transnational Mixed Teams 跨国混合团体｜A-EVERTRUST HOLDING GROUP</x:v>
      </x:c>
    </x:row>
    <x:row r="128">
      <x:c r="A128" s="36" t="n">
        <x:v>118</x:v>
      </x:c>
      <x:c r="B128" s="36" t="str">
        <x:v>Rongqiang Lin</x:v>
      </x:c>
      <x:c r="C128" s="36" t="str"/>
      <x:c r="D128" s="36" t="n">
        <x:v>0</x:v>
      </x:c>
      <x:c r="E128" s="36" t="n">
        <x:v>1</x:v>
      </x:c>
      <x:c r="F128" s="36" t="n">
        <x:v>1</x:v>
      </x:c>
      <x:c r="G128" s="36" t="n">
        <x:v>2</x:v>
      </x:c>
      <x:c r="H128" s="35" t="str"/>
      <x:c r="I128" s="35" t="str">
        <x:v>2018｜世界桥牌综合锦标赛｜World Senior Teams 老年团体｜CHINA</x:v>
      </x:c>
      <x:c r="J128" s="35" t="str">
        <x:v>2008-10-03—2008-10-18｜第1届世界智力运动会 / 世界桥牌运动会｜Transnational Mixed Teams 跨国混合团体｜A-EVERTRUST HOLDING GROUP</x:v>
      </x:c>
    </x:row>
    <x:row r="129">
      <x:c r="A129" s="17" t="n">
        <x:v>118</x:v>
      </x:c>
      <x:c r="B129" s="17" t="str">
        <x:v>Shi Qiu</x:v>
      </x:c>
      <x:c r="C129" s="17" t="str"/>
      <x:c r="D129" s="17" t="n">
        <x:v>0</x:v>
      </x:c>
      <x:c r="E129" s="17" t="n">
        <x:v>1</x:v>
      </x:c>
      <x:c r="F129" s="17" t="n">
        <x:v>1</x:v>
      </x:c>
      <x:c r="G129" s="17" t="n">
        <x:v>2</x:v>
      </x:c>
      <x:c r="H129" s="16" t="str"/>
      <x:c r="I129" s="16" t="str">
        <x:v>2015-08-20—2015-08-29｜第4届世界青年公开锦标赛｜U16 Teams / Kids Teams｜CHINA RDFZ1</x:v>
      </x:c>
      <x:c r="J129" s="16" t="str">
        <x:v>2017-08-15—2017-08-24｜第5届世界青年公开锦标赛｜U21 Teams / Youngsters Teams｜CHINA</x:v>
      </x:c>
    </x:row>
    <x:row r="130">
      <x:c r="A130" s="36" t="n">
        <x:v>118</x:v>
      </x:c>
      <x:c r="B130" s="36" t="str">
        <x:v>Tiancheng Zhang</x:v>
      </x:c>
      <x:c r="C130" s="36" t="str"/>
      <x:c r="D130" s="36" t="n">
        <x:v>0</x:v>
      </x:c>
      <x:c r="E130" s="36" t="n">
        <x:v>1</x:v>
      </x:c>
      <x:c r="F130" s="36" t="n">
        <x:v>1</x:v>
      </x:c>
      <x:c r="G130" s="36" t="n">
        <x:v>2</x:v>
      </x:c>
      <x:c r="H130" s="35" t="str"/>
      <x:c r="I130" s="35" t="str">
        <x:v>2017-08-15—2017-08-24｜第5届世界青年公开锦标赛｜U21 Teams / Youngsters Teams｜SHENGXING TEAM</x:v>
      </x:c>
      <x:c r="J130" s="35" t="str">
        <x:v>2015-08-20—2015-08-29｜第4届世界青年公开锦标赛｜U16 Teams / Kids Teams｜SX XNWY</x:v>
      </x:c>
    </x:row>
    <x:row r="131">
      <x:c r="A131" s="17" t="n">
        <x:v>118</x:v>
      </x:c>
      <x:c r="B131" s="17" t="str">
        <x:v>Tianyao Yan</x:v>
      </x:c>
      <x:c r="C131" s="17" t="str"/>
      <x:c r="D131" s="17" t="n">
        <x:v>0</x:v>
      </x:c>
      <x:c r="E131" s="17" t="n">
        <x:v>1</x:v>
      </x:c>
      <x:c r="F131" s="17" t="n">
        <x:v>1</x:v>
      </x:c>
      <x:c r="G131" s="17" t="n">
        <x:v>2</x:v>
      </x:c>
      <x:c r="H131" s="16" t="str"/>
      <x:c r="I131" s="16" t="str">
        <x:v>2026-08-03—2026-08-08｜第9届世界青年跨国锦标赛｜U31 Teams｜CHINA U31</x:v>
      </x:c>
      <x:c r="J131" s="16" t="str">
        <x:v>2019-08-20—2019-08-29｜第6届世界青年公开锦标赛｜Youth BAM｜SXNEBULA</x:v>
      </x:c>
    </x:row>
    <x:row r="132">
      <x:c r="A132" s="36" t="n">
        <x:v>118</x:v>
      </x:c>
      <x:c r="B132" s="36" t="str">
        <x:v>Xihao Wang</x:v>
      </x:c>
      <x:c r="C132" s="36" t="str"/>
      <x:c r="D132" s="36" t="n">
        <x:v>0</x:v>
      </x:c>
      <x:c r="E132" s="36" t="n">
        <x:v>1</x:v>
      </x:c>
      <x:c r="F132" s="36" t="n">
        <x:v>1</x:v>
      </x:c>
      <x:c r="G132" s="36" t="n">
        <x:v>2</x:v>
      </x:c>
      <x:c r="H132" s="35" t="str"/>
      <x:c r="I132" s="35" t="str">
        <x:v>2018-08-08—2018-08-18｜世界青年团体锦标赛｜Youth BAM｜CHINA YOUNGSTERS</x:v>
      </x:c>
      <x:c r="J132" s="35" t="str">
        <x:v>2017-08-15—2017-08-24｜第5届世界青年公开锦标赛｜U21 Teams / Youngsters Teams｜CHINA</x:v>
      </x:c>
    </x:row>
    <x:row r="133">
      <x:c r="A133" s="17" t="n">
        <x:v>118</x:v>
      </x:c>
      <x:c r="B133" s="17" t="str">
        <x:v>Yihong Liu</x:v>
      </x:c>
      <x:c r="C133" s="17" t="str"/>
      <x:c r="D133" s="17" t="n">
        <x:v>0</x:v>
      </x:c>
      <x:c r="E133" s="17" t="n">
        <x:v>1</x:v>
      </x:c>
      <x:c r="F133" s="17" t="n">
        <x:v>1</x:v>
      </x:c>
      <x:c r="G133" s="17" t="n">
        <x:v>2</x:v>
      </x:c>
      <x:c r="H133" s="16" t="str"/>
      <x:c r="I133" s="16" t="str">
        <x:v>2017-08-15—2017-08-24｜第5届世界青年公开锦标赛｜U21 Teams / Youngsters Teams｜SHENGXING TEAM</x:v>
      </x:c>
      <x:c r="J133" s="16" t="str">
        <x:v>2015-08-20—2015-08-29｜第4届世界青年公开锦标赛｜U16 Teams / Kids Teams｜SX XNWY</x:v>
      </x:c>
    </x:row>
    <x:row r="134">
      <x:c r="A134" s="36" t="n">
        <x:v>118</x:v>
      </x:c>
      <x:c r="B134" s="36" t="str">
        <x:v>Zhengjun Shi</x:v>
      </x:c>
      <x:c r="C134" s="36" t="str"/>
      <x:c r="D134" s="36" t="n">
        <x:v>0</x:v>
      </x:c>
      <x:c r="E134" s="36" t="n">
        <x:v>1</x:v>
      </x:c>
      <x:c r="F134" s="36" t="n">
        <x:v>1</x:v>
      </x:c>
      <x:c r="G134" s="36" t="n">
        <x:v>2</x:v>
      </x:c>
      <x:c r="H134" s="35" t="str"/>
      <x:c r="I134" s="35" t="str">
        <x:v>2017｜世界桥牌团体锦标赛｜Transnational Open Teams 跨国公开团体｜TRANSNATIONAL TEAM</x:v>
      </x:c>
      <x:c r="J134" s="35" t="str">
        <x:v>2008-10-03—2008-10-18｜第1届世界智力运动会 / 世界桥牌运动会｜Transnational Mixed Teams 跨国混合团体｜A-EVERTRUST HOLDING GROUP</x:v>
      </x:c>
    </x:row>
    <x:row r="135">
      <x:c r="A135" s="17" t="n">
        <x:v>118</x:v>
      </x:c>
      <x:c r="B135" s="17" t="str">
        <x:v>Zian Wang</x:v>
      </x:c>
      <x:c r="C135" s="17" t="str"/>
      <x:c r="D135" s="17" t="n">
        <x:v>0</x:v>
      </x:c>
      <x:c r="E135" s="17" t="n">
        <x:v>1</x:v>
      </x:c>
      <x:c r="F135" s="17" t="n">
        <x:v>1</x:v>
      </x:c>
      <x:c r="G135" s="17" t="n">
        <x:v>2</x:v>
      </x:c>
      <x:c r="H135" s="16" t="str"/>
      <x:c r="I135" s="16" t="str">
        <x:v>2026-08-03—2026-08-08｜第9届世界青年跨国锦标赛｜U31 Teams｜CHINA U31</x:v>
      </x:c>
      <x:c r="J135" s="16" t="str">
        <x:v>2026-08-03—2026-08-08｜第9届世界青年跨国锦标赛｜U31 Pairs｜Jixiao Han – Zian Wang</x:v>
      </x:c>
    </x:row>
    <x:row r="136">
      <x:c r="A136" s="36" t="n">
        <x:v>118</x:v>
      </x:c>
      <x:c r="B136" s="36" t="str">
        <x:v>Ziao Wang</x:v>
      </x:c>
      <x:c r="C136" s="36" t="str"/>
      <x:c r="D136" s="36" t="n">
        <x:v>0</x:v>
      </x:c>
      <x:c r="E136" s="36" t="n">
        <x:v>1</x:v>
      </x:c>
      <x:c r="F136" s="36" t="n">
        <x:v>1</x:v>
      </x:c>
      <x:c r="G136" s="36" t="n">
        <x:v>2</x:v>
      </x:c>
      <x:c r="H136" s="35" t="str"/>
      <x:c r="I136" s="35" t="str">
        <x:v>2026-08-03—2026-08-08｜第9届世界青年跨国锦标赛｜U26 Teams｜REIGNWOOD JUNIORS</x:v>
      </x:c>
      <x:c r="J136" s="35" t="str">
        <x:v>2024-07-13—2024-07-18｜第8届世界青年跨国锦标赛｜U21 Teams｜RDFZ B (CHN/USA)</x:v>
      </x:c>
    </x:row>
    <x:row r="137">
      <x:c r="A137" s="17" t="n">
        <x:v>133</x:v>
      </x:c>
      <x:c r="B137" s="17" t="str">
        <x:v>Aijia Yuan</x:v>
      </x:c>
      <x:c r="C137" s="17" t="str"/>
      <x:c r="D137" s="17" t="n">
        <x:v>0</x:v>
      </x:c>
      <x:c r="E137" s="17" t="n">
        <x:v>1</x:v>
      </x:c>
      <x:c r="F137" s="17" t="n">
        <x:v>0</x:v>
      </x:c>
      <x:c r="G137" s="17" t="n">
        <x:v>1</x:v>
      </x:c>
      <x:c r="H137" s="16" t="str"/>
      <x:c r="I137" s="16" t="str">
        <x:v>2015-08-20—2015-08-29｜第4届世界青年公开锦标赛｜U26 Women Teams / Girls Teams｜SX XHLD</x:v>
      </x:c>
      <x:c r="J137" s="16" t="str"/>
    </x:row>
    <x:row r="138">
      <x:c r="A138" s="36" t="n">
        <x:v>133</x:v>
      </x:c>
      <x:c r="B138" s="36" t="str">
        <x:v>Bing Zhao</x:v>
      </x:c>
      <x:c r="C138" s="36" t="str"/>
      <x:c r="D138" s="36" t="n">
        <x:v>0</x:v>
      </x:c>
      <x:c r="E138" s="36" t="n">
        <x:v>1</x:v>
      </x:c>
      <x:c r="F138" s="36" t="n">
        <x:v>0</x:v>
      </x:c>
      <x:c r="G138" s="36" t="n">
        <x:v>1</x:v>
      </x:c>
      <x:c r="H138" s="35" t="str"/>
      <x:c r="I138" s="35" t="str">
        <x:v>2014-08-13—2014-08-23｜世界青年团体锦标赛｜U26 Women Teams｜CHINA</x:v>
      </x:c>
      <x:c r="J138" s="35" t="str"/>
    </x:row>
    <x:row r="139">
      <x:c r="A139" s="17" t="n">
        <x:v>133</x:v>
      </x:c>
      <x:c r="B139" s="17" t="str">
        <x:v>Chongshang Huang</x:v>
      </x:c>
      <x:c r="C139" s="17" t="str"/>
      <x:c r="D139" s="17" t="n">
        <x:v>0</x:v>
      </x:c>
      <x:c r="E139" s="17" t="n">
        <x:v>1</x:v>
      </x:c>
      <x:c r="F139" s="17" t="n">
        <x:v>0</x:v>
      </x:c>
      <x:c r="G139" s="17" t="n">
        <x:v>1</x:v>
      </x:c>
      <x:c r="H139" s="16" t="str"/>
      <x:c r="I139" s="16" t="str">
        <x:v>2026-08-03—2026-08-08｜第9届世界青年跨国锦标赛｜U26 Pairs｜Chongshang Huang – Yuantao Zheng</x:v>
      </x:c>
      <x:c r="J139" s="16" t="str"/>
    </x:row>
    <x:row r="140">
      <x:c r="A140" s="36" t="n">
        <x:v>133</x:v>
      </x:c>
      <x:c r="B140" s="36" t="str">
        <x:v>Chuan Cheng Ju</x:v>
      </x:c>
      <x:c r="C140" s="36" t="str"/>
      <x:c r="D140" s="36" t="n">
        <x:v>0</x:v>
      </x:c>
      <x:c r="E140" s="36" t="n">
        <x:v>1</x:v>
      </x:c>
      <x:c r="F140" s="36" t="n">
        <x:v>0</x:v>
      </x:c>
      <x:c r="G140" s="36" t="n">
        <x:v>1</x:v>
      </x:c>
      <x:c r="H140" s="35" t="str"/>
      <x:c r="I140" s="35" t="str">
        <x:v>2017｜世界桥牌团体锦标赛｜Transnational Open Teams 跨国公开团体｜TRANSNATIONAL TEAM</x:v>
      </x:c>
      <x:c r="J140" s="35" t="str"/>
    </x:row>
    <x:row r="141">
      <x:c r="A141" s="17" t="n">
        <x:v>133</x:v>
      </x:c>
      <x:c r="B141" s="17" t="str">
        <x:v>Guofang Xin</x:v>
      </x:c>
      <x:c r="C141" s="17" t="str"/>
      <x:c r="D141" s="17" t="n">
        <x:v>0</x:v>
      </x:c>
      <x:c r="E141" s="17" t="n">
        <x:v>1</x:v>
      </x:c>
      <x:c r="F141" s="17" t="n">
        <x:v>0</x:v>
      </x:c>
      <x:c r="G141" s="17" t="n">
        <x:v>1</x:v>
      </x:c>
      <x:c r="H141" s="16" t="str"/>
      <x:c r="I141" s="16" t="str">
        <x:v>2019-09｜世界桥牌团体锦标赛｜Transnational Open Teams 跨国公开团体｜CHINA</x:v>
      </x:c>
      <x:c r="J141" s="16" t="str"/>
    </x:row>
    <x:row r="142">
      <x:c r="A142" s="36" t="n">
        <x:v>133</x:v>
      </x:c>
      <x:c r="B142" s="36" t="str">
        <x:v>Hanting Wang</x:v>
      </x:c>
      <x:c r="C142" s="36" t="str"/>
      <x:c r="D142" s="36" t="n">
        <x:v>0</x:v>
      </x:c>
      <x:c r="E142" s="36" t="n">
        <x:v>1</x:v>
      </x:c>
      <x:c r="F142" s="36" t="n">
        <x:v>0</x:v>
      </x:c>
      <x:c r="G142" s="36" t="n">
        <x:v>1</x:v>
      </x:c>
      <x:c r="H142" s="35" t="str"/>
      <x:c r="I142" s="35" t="str">
        <x:v>2026-08-03—2026-08-08｜第9届世界青年跨国锦标赛｜U21 Teams｜CHINA RDFZ BAXI</x:v>
      </x:c>
      <x:c r="J142" s="35" t="str"/>
    </x:row>
    <x:row r="143">
      <x:c r="A143" s="17" t="n">
        <x:v>133</x:v>
      </x:c>
      <x:c r="B143" s="17" t="str">
        <x:v>Hanxiao Li</x:v>
      </x:c>
      <x:c r="C143" s="17" t="str"/>
      <x:c r="D143" s="17" t="n">
        <x:v>0</x:v>
      </x:c>
      <x:c r="E143" s="17" t="n">
        <x:v>1</x:v>
      </x:c>
      <x:c r="F143" s="17" t="n">
        <x:v>0</x:v>
      </x:c>
      <x:c r="G143" s="17" t="n">
        <x:v>1</x:v>
      </x:c>
      <x:c r="H143" s="16" t="str"/>
      <x:c r="I143" s="16" t="str">
        <x:v>2014-08-13—2014-08-23｜世界青年团体锦标赛｜U26 Women Teams｜CHINA</x:v>
      </x:c>
      <x:c r="J143" s="16" t="str"/>
    </x:row>
    <x:row r="144">
      <x:c r="A144" s="36" t="n">
        <x:v>133</x:v>
      </x:c>
      <x:c r="B144" s="36" t="str">
        <x:v>Haojun Shi</x:v>
      </x:c>
      <x:c r="C144" s="36" t="str"/>
      <x:c r="D144" s="36" t="n">
        <x:v>0</x:v>
      </x:c>
      <x:c r="E144" s="36" t="n">
        <x:v>1</x:v>
      </x:c>
      <x:c r="F144" s="36" t="n">
        <x:v>0</x:v>
      </x:c>
      <x:c r="G144" s="36" t="n">
        <x:v>1</x:v>
      </x:c>
      <x:c r="H144" s="35" t="str"/>
      <x:c r="I144" s="35" t="str">
        <x:v>2003｜世界桥牌团体锦标赛｜Transnational Open Teams 跨国公开团体｜CHINA</x:v>
      </x:c>
      <x:c r="J144" s="35" t="str"/>
    </x:row>
    <x:row r="145">
      <x:c r="A145" s="17" t="n">
        <x:v>133</x:v>
      </x:c>
      <x:c r="B145" s="17" t="str">
        <x:v>Hongbin Su</x:v>
      </x:c>
      <x:c r="C145" s="17" t="str"/>
      <x:c r="D145" s="17" t="n">
        <x:v>0</x:v>
      </x:c>
      <x:c r="E145" s="17" t="n">
        <x:v>1</x:v>
      </x:c>
      <x:c r="F145" s="17" t="n">
        <x:v>0</x:v>
      </x:c>
      <x:c r="G145" s="17" t="n">
        <x:v>1</x:v>
      </x:c>
      <x:c r="H145" s="16" t="str"/>
      <x:c r="I145" s="16" t="str">
        <x:v>2019-09｜世界桥牌团体锦标赛｜Transnational Open Teams 跨国公开团体｜CHINA</x:v>
      </x:c>
      <x:c r="J145" s="16" t="str"/>
    </x:row>
    <x:row r="146">
      <x:c r="A146" s="36" t="n">
        <x:v>133</x:v>
      </x:c>
      <x:c r="B146" s="36" t="str">
        <x:v>Huibo Jiang</x:v>
      </x:c>
      <x:c r="C146" s="36" t="str"/>
      <x:c r="D146" s="36" t="n">
        <x:v>0</x:v>
      </x:c>
      <x:c r="E146" s="36" t="n">
        <x:v>1</x:v>
      </x:c>
      <x:c r="F146" s="36" t="n">
        <x:v>0</x:v>
      </x:c>
      <x:c r="G146" s="36" t="n">
        <x:v>1</x:v>
      </x:c>
      <x:c r="H146" s="35" t="str"/>
      <x:c r="I146" s="35" t="str">
        <x:v>2019-09｜世界桥牌团体锦标赛｜Transnational Open Teams 跨国公开团体｜CHINA</x:v>
      </x:c>
      <x:c r="J146" s="35" t="str"/>
    </x:row>
    <x:row r="147">
      <x:c r="A147" s="17" t="n">
        <x:v>133</x:v>
      </x:c>
      <x:c r="B147" s="17" t="str">
        <x:v>Huiyuan Jin</x:v>
      </x:c>
      <x:c r="C147" s="17" t="str"/>
      <x:c r="D147" s="17" t="n">
        <x:v>0</x:v>
      </x:c>
      <x:c r="E147" s="17" t="n">
        <x:v>1</x:v>
      </x:c>
      <x:c r="F147" s="17" t="n">
        <x:v>0</x:v>
      </x:c>
      <x:c r="G147" s="17" t="n">
        <x:v>1</x:v>
      </x:c>
      <x:c r="H147" s="16" t="str"/>
      <x:c r="I147" s="16" t="str">
        <x:v>2015-08-20—2015-08-29｜第4届世界青年公开锦标赛｜U26 Women Teams / Girls Teams｜SX XHLD</x:v>
      </x:c>
      <x:c r="J147" s="16" t="str"/>
    </x:row>
    <x:row r="148">
      <x:c r="A148" s="36" t="n">
        <x:v>133</x:v>
      </x:c>
      <x:c r="B148" s="36" t="str">
        <x:v>Jian Hua Tao</x:v>
      </x:c>
      <x:c r="C148" s="36" t="str"/>
      <x:c r="D148" s="36" t="n">
        <x:v>0</x:v>
      </x:c>
      <x:c r="E148" s="36" t="n">
        <x:v>1</x:v>
      </x:c>
      <x:c r="F148" s="36" t="n">
        <x:v>0</x:v>
      </x:c>
      <x:c r="G148" s="36" t="n">
        <x:v>1</x:v>
      </x:c>
      <x:c r="H148" s="35" t="str"/>
      <x:c r="I148" s="35" t="str">
        <x:v>2018｜世界桥牌综合锦标赛｜World Senior Teams 老年团体｜CHINA</x:v>
      </x:c>
      <x:c r="J148" s="35" t="str"/>
    </x:row>
    <x:row r="149">
      <x:c r="A149" s="17" t="n">
        <x:v>133</x:v>
      </x:c>
      <x:c r="B149" s="17" t="str">
        <x:v>Jian Wang</x:v>
      </x:c>
      <x:c r="C149" s="17" t="str"/>
      <x:c r="D149" s="17" t="n">
        <x:v>0</x:v>
      </x:c>
      <x:c r="E149" s="17" t="n">
        <x:v>1</x:v>
      </x:c>
      <x:c r="F149" s="17" t="n">
        <x:v>0</x:v>
      </x:c>
      <x:c r="G149" s="17" t="n">
        <x:v>1</x:v>
      </x:c>
      <x:c r="H149" s="16" t="str"/>
      <x:c r="I149" s="16" t="str">
        <x:v>2025-08-20—2025-08-31｜第47届世界桥牌团体锦标赛｜Venice Cup 女子团体｜CHINA</x:v>
      </x:c>
      <x:c r="J149" s="16" t="str"/>
    </x:row>
    <x:row r="150">
      <x:c r="A150" s="36" t="n">
        <x:v>133</x:v>
      </x:c>
      <x:c r="B150" s="36" t="str">
        <x:v>Jiawen Gu</x:v>
      </x:c>
      <x:c r="C150" s="36" t="str"/>
      <x:c r="D150" s="36" t="n">
        <x:v>0</x:v>
      </x:c>
      <x:c r="E150" s="36" t="n">
        <x:v>1</x:v>
      </x:c>
      <x:c r="F150" s="36" t="n">
        <x:v>0</x:v>
      </x:c>
      <x:c r="G150" s="36" t="n">
        <x:v>1</x:v>
      </x:c>
      <x:c r="H150" s="35" t="str"/>
      <x:c r="I150" s="35" t="str">
        <x:v>2026-08-03—2026-08-08｜第9届世界青年跨国锦标赛｜U31 Teams｜CHINA U31</x:v>
      </x:c>
      <x:c r="J150" s="35" t="str"/>
    </x:row>
    <x:row r="151">
      <x:c r="A151" s="17" t="n">
        <x:v>133</x:v>
      </x:c>
      <x:c r="B151" s="17" t="str">
        <x:v>Ke Guo</x:v>
      </x:c>
      <x:c r="C151" s="17" t="str"/>
      <x:c r="D151" s="17" t="n">
        <x:v>0</x:v>
      </x:c>
      <x:c r="E151" s="17" t="n">
        <x:v>1</x:v>
      </x:c>
      <x:c r="F151" s="17" t="n">
        <x:v>0</x:v>
      </x:c>
      <x:c r="G151" s="17" t="n">
        <x:v>1</x:v>
      </x:c>
      <x:c r="H151" s="16" t="str"/>
      <x:c r="I151" s="16" t="str">
        <x:v>2025-08-20—2025-08-31｜第47届世界桥牌团体锦标赛｜Venice Cup 女子团体｜CHINA</x:v>
      </x:c>
      <x:c r="J151" s="16" t="str"/>
    </x:row>
    <x:row r="152">
      <x:c r="A152" s="36" t="n">
        <x:v>133</x:v>
      </x:c>
      <x:c r="B152" s="36" t="str">
        <x:v>Li Chen</x:v>
      </x:c>
      <x:c r="C152" s="36" t="str"/>
      <x:c r="D152" s="36" t="n">
        <x:v>0</x:v>
      </x:c>
      <x:c r="E152" s="36" t="n">
        <x:v>1</x:v>
      </x:c>
      <x:c r="F152" s="36" t="n">
        <x:v>0</x:v>
      </x:c>
      <x:c r="G152" s="36" t="n">
        <x:v>1</x:v>
      </x:c>
      <x:c r="H152" s="35" t="str"/>
      <x:c r="I152" s="35" t="str">
        <x:v>2014-08-13—2014-08-23｜世界青年团体锦标赛｜U26 Women Teams｜CHINA</x:v>
      </x:c>
      <x:c r="J152" s="35" t="str"/>
    </x:row>
    <x:row r="153">
      <x:c r="A153" s="17" t="n">
        <x:v>133</x:v>
      </x:c>
      <x:c r="B153" s="17" t="str">
        <x:v>Luxi Gong</x:v>
      </x:c>
      <x:c r="C153" s="17" t="str"/>
      <x:c r="D153" s="17" t="n">
        <x:v>0</x:v>
      </x:c>
      <x:c r="E153" s="17" t="n">
        <x:v>1</x:v>
      </x:c>
      <x:c r="F153" s="17" t="n">
        <x:v>0</x:v>
      </x:c>
      <x:c r="G153" s="17" t="n">
        <x:v>1</x:v>
      </x:c>
      <x:c r="H153" s="16" t="str"/>
      <x:c r="I153" s="16" t="str">
        <x:v>2026-08-03—2026-08-08｜第9届世界青年跨国锦标赛｜U26 Women Pairs｜Luxi Gong – Wanying Guo</x:v>
      </x:c>
      <x:c r="J153" s="16" t="str"/>
    </x:row>
    <x:row r="154">
      <x:c r="A154" s="36" t="n">
        <x:v>133</x:v>
      </x:c>
      <x:c r="B154" s="36" t="str">
        <x:v>Mingkun Shen</x:v>
      </x:c>
      <x:c r="C154" s="36" t="str"/>
      <x:c r="D154" s="36" t="n">
        <x:v>0</x:v>
      </x:c>
      <x:c r="E154" s="36" t="n">
        <x:v>1</x:v>
      </x:c>
      <x:c r="F154" s="36" t="n">
        <x:v>0</x:v>
      </x:c>
      <x:c r="G154" s="36" t="n">
        <x:v>1</x:v>
      </x:c>
      <x:c r="H154" s="35" t="str"/>
      <x:c r="I154" s="35" t="str">
        <x:v>2018｜世界桥牌综合锦标赛｜World Senior Teams 老年团体｜CHINA</x:v>
      </x:c>
      <x:c r="J154" s="35" t="str"/>
    </x:row>
    <x:row r="155">
      <x:c r="A155" s="17" t="n">
        <x:v>133</x:v>
      </x:c>
      <x:c r="B155" s="17" t="str">
        <x:v>Qian Sun</x:v>
      </x:c>
      <x:c r="C155" s="17" t="str"/>
      <x:c r="D155" s="17" t="n">
        <x:v>0</x:v>
      </x:c>
      <x:c r="E155" s="17" t="n">
        <x:v>1</x:v>
      </x:c>
      <x:c r="F155" s="17" t="n">
        <x:v>0</x:v>
      </x:c>
      <x:c r="G155" s="17" t="n">
        <x:v>1</x:v>
      </x:c>
      <x:c r="H155" s="16" t="str"/>
      <x:c r="I155" s="16" t="str">
        <x:v>2018-08-08—2018-08-18｜世界青年团体锦标赛｜Youth BAM｜CHINA YOUNGSTERS</x:v>
      </x:c>
      <x:c r="J155" s="16" t="str"/>
    </x:row>
    <x:row r="156">
      <x:c r="A156" s="36" t="n">
        <x:v>133</x:v>
      </x:c>
      <x:c r="B156" s="36" t="str">
        <x:v>Qihao Wu</x:v>
      </x:c>
      <x:c r="C156" s="36" t="str"/>
      <x:c r="D156" s="36" t="n">
        <x:v>0</x:v>
      </x:c>
      <x:c r="E156" s="36" t="n">
        <x:v>1</x:v>
      </x:c>
      <x:c r="F156" s="36" t="n">
        <x:v>0</x:v>
      </x:c>
      <x:c r="G156" s="36" t="n">
        <x:v>1</x:v>
      </x:c>
      <x:c r="H156" s="35" t="str"/>
      <x:c r="I156" s="35" t="str">
        <x:v>2014-08-13—2014-08-23｜世界青年团体锦标赛｜U26 Women Teams｜CHINA</x:v>
      </x:c>
      <x:c r="J156" s="35" t="str"/>
    </x:row>
    <x:row r="157">
      <x:c r="A157" s="17" t="n">
        <x:v>133</x:v>
      </x:c>
      <x:c r="B157" s="17" t="str">
        <x:v>Rui Li</x:v>
      </x:c>
      <x:c r="C157" s="17" t="str"/>
      <x:c r="D157" s="17" t="n">
        <x:v>0</x:v>
      </x:c>
      <x:c r="E157" s="17" t="n">
        <x:v>1</x:v>
      </x:c>
      <x:c r="F157" s="17" t="n">
        <x:v>0</x:v>
      </x:c>
      <x:c r="G157" s="17" t="n">
        <x:v>1</x:v>
      </x:c>
      <x:c r="H157" s="16" t="str"/>
      <x:c r="I157" s="16" t="str">
        <x:v>2019-09｜世界桥牌团体锦标赛｜Transnational Open Teams 跨国公开团体｜CHINA</x:v>
      </x:c>
      <x:c r="J157" s="16" t="str"/>
    </x:row>
    <x:row r="158">
      <x:c r="A158" s="36" t="n">
        <x:v>133</x:v>
      </x:c>
      <x:c r="B158" s="36" t="str">
        <x:v>Shangjie Wu</x:v>
      </x:c>
      <x:c r="C158" s="36" t="str"/>
      <x:c r="D158" s="36" t="n">
        <x:v>0</x:v>
      </x:c>
      <x:c r="E158" s="36" t="n">
        <x:v>1</x:v>
      </x:c>
      <x:c r="F158" s="36" t="n">
        <x:v>0</x:v>
      </x:c>
      <x:c r="G158" s="36" t="n">
        <x:v>1</x:v>
      </x:c>
      <x:c r="H158" s="35" t="str"/>
      <x:c r="I158" s="35" t="str">
        <x:v>2019-09｜世界桥牌团体锦标赛｜Transnational Open Teams 跨国公开团体｜CHINA</x:v>
      </x:c>
      <x:c r="J158" s="35" t="str"/>
    </x:row>
    <x:row r="159">
      <x:c r="A159" s="17" t="n">
        <x:v>133</x:v>
      </x:c>
      <x:c r="B159" s="17" t="str">
        <x:v>Shaohong Wu</x:v>
      </x:c>
      <x:c r="C159" s="17" t="str"/>
      <x:c r="D159" s="17" t="n">
        <x:v>0</x:v>
      </x:c>
      <x:c r="E159" s="17" t="n">
        <x:v>1</x:v>
      </x:c>
      <x:c r="F159" s="17" t="n">
        <x:v>0</x:v>
      </x:c>
      <x:c r="G159" s="17" t="n">
        <x:v>1</x:v>
      </x:c>
      <x:c r="H159" s="16" t="str"/>
      <x:c r="I159" s="16" t="str">
        <x:v>2014-10｜世界桥牌综合锦标赛｜Women Teams 女子团体｜CHINA</x:v>
      </x:c>
      <x:c r="J159" s="16" t="str"/>
    </x:row>
    <x:row r="160">
      <x:c r="A160" s="36" t="n">
        <x:v>133</x:v>
      </x:c>
      <x:c r="B160" s="36" t="str">
        <x:v>Shengyue Gui</x:v>
      </x:c>
      <x:c r="C160" s="36" t="str"/>
      <x:c r="D160" s="36" t="n">
        <x:v>0</x:v>
      </x:c>
      <x:c r="E160" s="36" t="n">
        <x:v>1</x:v>
      </x:c>
      <x:c r="F160" s="36" t="n">
        <x:v>0</x:v>
      </x:c>
      <x:c r="G160" s="36" t="n">
        <x:v>1</x:v>
      </x:c>
      <x:c r="H160" s="35" t="str"/>
      <x:c r="I160" s="35" t="str">
        <x:v>2014-10｜世界桥牌综合锦标赛｜Mixed Teams 混合团体｜CHINA</x:v>
      </x:c>
      <x:c r="J160" s="35" t="str"/>
    </x:row>
    <x:row r="161">
      <x:c r="A161" s="17" t="n">
        <x:v>133</x:v>
      </x:c>
      <x:c r="B161" s="17" t="str">
        <x:v>Sili Liu</x:v>
      </x:c>
      <x:c r="C161" s="17" t="str"/>
      <x:c r="D161" s="17" t="n">
        <x:v>0</x:v>
      </x:c>
      <x:c r="E161" s="17" t="n">
        <x:v>1</x:v>
      </x:c>
      <x:c r="F161" s="17" t="n">
        <x:v>0</x:v>
      </x:c>
      <x:c r="G161" s="17" t="n">
        <x:v>1</x:v>
      </x:c>
      <x:c r="H161" s="16" t="str"/>
      <x:c r="I161" s="16" t="str">
        <x:v>2016-08-03—2016-08-13｜世界青年团体锦标赛｜U26 Teams｜CHINA</x:v>
      </x:c>
      <x:c r="J161" s="16" t="str"/>
    </x:row>
    <x:row r="162">
      <x:c r="A162" s="36" t="n">
        <x:v>133</x:v>
      </x:c>
      <x:c r="B162" s="36" t="str">
        <x:v>Siyuan Shen</x:v>
      </x:c>
      <x:c r="C162" s="36" t="str"/>
      <x:c r="D162" s="36" t="n">
        <x:v>0</x:v>
      </x:c>
      <x:c r="E162" s="36" t="n">
        <x:v>1</x:v>
      </x:c>
      <x:c r="F162" s="36" t="n">
        <x:v>0</x:v>
      </x:c>
      <x:c r="G162" s="36" t="n">
        <x:v>1</x:v>
      </x:c>
      <x:c r="H162" s="35" t="str"/>
      <x:c r="I162" s="35" t="str">
        <x:v>2019-09｜世界桥牌团体锦标赛｜Transnational Open Teams 跨国公开团体｜CHINA</x:v>
      </x:c>
      <x:c r="J162" s="35" t="str"/>
    </x:row>
    <x:row r="163">
      <x:c r="A163" s="17" t="n">
        <x:v>133</x:v>
      </x:c>
      <x:c r="B163" s="17" t="str">
        <x:v>Tianyu Zhang</x:v>
      </x:c>
      <x:c r="C163" s="17" t="str"/>
      <x:c r="D163" s="17" t="n">
        <x:v>0</x:v>
      </x:c>
      <x:c r="E163" s="17" t="n">
        <x:v>1</x:v>
      </x:c>
      <x:c r="F163" s="17" t="n">
        <x:v>0</x:v>
      </x:c>
      <x:c r="G163" s="17" t="n">
        <x:v>1</x:v>
      </x:c>
      <x:c r="H163" s="16" t="str"/>
      <x:c r="I163" s="16" t="str">
        <x:v>2026-08-03—2026-08-08｜第9届世界青年跨国锦标赛｜U31 Teams｜CHINA U31</x:v>
      </x:c>
      <x:c r="J163" s="16" t="str"/>
    </x:row>
    <x:row r="164">
      <x:c r="A164" s="36" t="n">
        <x:v>133</x:v>
      </x:c>
      <x:c r="B164" s="36" t="str">
        <x:v>Tong Jiang</x:v>
      </x:c>
      <x:c r="C164" s="36" t="str"/>
      <x:c r="D164" s="36" t="n">
        <x:v>0</x:v>
      </x:c>
      <x:c r="E164" s="36" t="n">
        <x:v>1</x:v>
      </x:c>
      <x:c r="F164" s="36" t="n">
        <x:v>0</x:v>
      </x:c>
      <x:c r="G164" s="36" t="n">
        <x:v>1</x:v>
      </x:c>
      <x:c r="H164" s="35" t="str"/>
      <x:c r="I164" s="35" t="str">
        <x:v>2017｜世界桥牌团体锦标赛｜Transnational Open Teams 跨国公开团体｜TRANSNATIONAL TEAM</x:v>
      </x:c>
      <x:c r="J164" s="35" t="str"/>
    </x:row>
    <x:row r="165">
      <x:c r="A165" s="17" t="n">
        <x:v>133</x:v>
      </x:c>
      <x:c r="B165" s="17" t="str">
        <x:v>Wanying Guo</x:v>
      </x:c>
      <x:c r="C165" s="17" t="str"/>
      <x:c r="D165" s="17" t="n">
        <x:v>0</x:v>
      </x:c>
      <x:c r="E165" s="17" t="n">
        <x:v>1</x:v>
      </x:c>
      <x:c r="F165" s="17" t="n">
        <x:v>0</x:v>
      </x:c>
      <x:c r="G165" s="17" t="n">
        <x:v>1</x:v>
      </x:c>
      <x:c r="H165" s="16" t="str"/>
      <x:c r="I165" s="16" t="str">
        <x:v>2026-08-03—2026-08-08｜第9届世界青年跨国锦标赛｜U26 Women Pairs｜Luxi Gong – Wanying Guo</x:v>
      </x:c>
      <x:c r="J165" s="16" t="str"/>
    </x:row>
    <x:row r="166">
      <x:c r="A166" s="36" t="n">
        <x:v>133</x:v>
      </x:c>
      <x:c r="B166" s="36" t="str">
        <x:v>Wenfei Yu</x:v>
      </x:c>
      <x:c r="C166" s="36" t="str"/>
      <x:c r="D166" s="36" t="n">
        <x:v>0</x:v>
      </x:c>
      <x:c r="E166" s="36" t="n">
        <x:v>1</x:v>
      </x:c>
      <x:c r="F166" s="36" t="n">
        <x:v>0</x:v>
      </x:c>
      <x:c r="G166" s="36" t="n">
        <x:v>1</x:v>
      </x:c>
      <x:c r="H166" s="35" t="str"/>
      <x:c r="I166" s="35" t="str">
        <x:v>2019-08-20—2019-08-29｜第6届世界青年公开锦标赛｜U26 Women Teams｜SXPEONY</x:v>
      </x:c>
      <x:c r="J166" s="35" t="str"/>
    </x:row>
    <x:row r="167">
      <x:c r="A167" s="17" t="n">
        <x:v>133</x:v>
      </x:c>
      <x:c r="B167" s="17" t="str">
        <x:v>Xiaofeng Zhang</x:v>
      </x:c>
      <x:c r="C167" s="17" t="str"/>
      <x:c r="D167" s="17" t="n">
        <x:v>0</x:v>
      </x:c>
      <x:c r="E167" s="17" t="n">
        <x:v>1</x:v>
      </x:c>
      <x:c r="F167" s="17" t="n">
        <x:v>0</x:v>
      </x:c>
      <x:c r="G167" s="17" t="n">
        <x:v>1</x:v>
      </x:c>
      <x:c r="H167" s="16" t="str"/>
      <x:c r="I167" s="16" t="str">
        <x:v>2017｜世界桥牌团体锦标赛｜Transnational Open Teams 跨国公开团体｜TRANSNATIONAL TEAM</x:v>
      </x:c>
      <x:c r="J167" s="16" t="str"/>
    </x:row>
    <x:row r="168">
      <x:c r="A168" s="36" t="n">
        <x:v>133</x:v>
      </x:c>
      <x:c r="B168" s="36" t="str">
        <x:v>Xiaonong Shen</x:v>
      </x:c>
      <x:c r="C168" s="36" t="str"/>
      <x:c r="D168" s="36" t="n">
        <x:v>0</x:v>
      </x:c>
      <x:c r="E168" s="36" t="n">
        <x:v>1</x:v>
      </x:c>
      <x:c r="F168" s="36" t="n">
        <x:v>0</x:v>
      </x:c>
      <x:c r="G168" s="36" t="n">
        <x:v>1</x:v>
      </x:c>
      <x:c r="H168" s="35" t="str"/>
      <x:c r="I168" s="35" t="str">
        <x:v>2018｜世界桥牌综合锦标赛｜World Senior Teams 老年团体｜CHINA</x:v>
      </x:c>
      <x:c r="J168" s="35" t="str"/>
    </x:row>
    <x:row r="169">
      <x:c r="A169" s="17" t="n">
        <x:v>133</x:v>
      </x:c>
      <x:c r="B169" s="17" t="str">
        <x:v>Xincheng Lyu</x:v>
      </x:c>
      <x:c r="C169" s="17" t="str"/>
      <x:c r="D169" s="17" t="n">
        <x:v>0</x:v>
      </x:c>
      <x:c r="E169" s="17" t="n">
        <x:v>1</x:v>
      </x:c>
      <x:c r="F169" s="17" t="n">
        <x:v>0</x:v>
      </x:c>
      <x:c r="G169" s="17" t="n">
        <x:v>1</x:v>
      </x:c>
      <x:c r="H169" s="16" t="str"/>
      <x:c r="I169" s="16" t="str">
        <x:v>2026-08-03—2026-08-08｜第9届世界青年跨国锦标赛｜U21 Teams｜CHINA RDFZ BAXI</x:v>
      </x:c>
      <x:c r="J169" s="16" t="str"/>
    </x:row>
    <x:row r="170">
      <x:c r="A170" s="36" t="n">
        <x:v>133</x:v>
      </x:c>
      <x:c r="B170" s="36" t="str">
        <x:v>Xuefang Yuan</x:v>
      </x:c>
      <x:c r="C170" s="36" t="str"/>
      <x:c r="D170" s="36" t="n">
        <x:v>0</x:v>
      </x:c>
      <x:c r="E170" s="36" t="n">
        <x:v>1</x:v>
      </x:c>
      <x:c r="F170" s="36" t="n">
        <x:v>0</x:v>
      </x:c>
      <x:c r="G170" s="36" t="n">
        <x:v>1</x:v>
      </x:c>
      <x:c r="H170" s="35" t="str"/>
      <x:c r="I170" s="35" t="str">
        <x:v>2025-08-20—2025-08-31｜第47届世界桥牌团体锦标赛｜Venice Cup 女子团体｜CHINA</x:v>
      </x:c>
      <x:c r="J170" s="35" t="str"/>
    </x:row>
    <x:row r="171">
      <x:c r="A171" s="17" t="n">
        <x:v>133</x:v>
      </x:c>
      <x:c r="B171" s="17" t="str">
        <x:v>Yanfeng Chen</x:v>
      </x:c>
      <x:c r="C171" s="17" t="str"/>
      <x:c r="D171" s="17" t="n">
        <x:v>0</x:v>
      </x:c>
      <x:c r="E171" s="17" t="n">
        <x:v>1</x:v>
      </x:c>
      <x:c r="F171" s="17" t="n">
        <x:v>0</x:v>
      </x:c>
      <x:c r="G171" s="17" t="n">
        <x:v>1</x:v>
      </x:c>
      <x:c r="H171" s="16" t="str"/>
      <x:c r="I171" s="16" t="str">
        <x:v>2016-08-03—2016-08-13｜世界青年团体锦标赛｜U26 Teams｜CHINA</x:v>
      </x:c>
      <x:c r="J171" s="16" t="str"/>
    </x:row>
    <x:row r="172">
      <x:c r="A172" s="36" t="n">
        <x:v>133</x:v>
      </x:c>
      <x:c r="B172" s="36" t="str">
        <x:v>Yanhui Sun</x:v>
      </x:c>
      <x:c r="C172" s="36" t="str">
        <x:v>孙燕慧</x:v>
      </x:c>
      <x:c r="D172" s="36" t="n">
        <x:v>0</x:v>
      </x:c>
      <x:c r="E172" s="36" t="n">
        <x:v>1</x:v>
      </x:c>
      <x:c r="F172" s="36" t="n">
        <x:v>0</x:v>
      </x:c>
      <x:c r="G172" s="36" t="n">
        <x:v>1</x:v>
      </x:c>
      <x:c r="H172" s="35" t="str"/>
      <x:c r="I172" s="35" t="str">
        <x:v>2024-10-22—2024-11-03｜第16届世界桥牌运动会｜Mixed Teams 混合团体｜CHINA</x:v>
      </x:c>
      <x:c r="J172" s="35" t="str"/>
    </x:row>
    <x:row r="173">
      <x:c r="A173" s="17" t="n">
        <x:v>133</x:v>
      </x:c>
      <x:c r="B173" s="17" t="str">
        <x:v>Yizheng Ge</x:v>
      </x:c>
      <x:c r="C173" s="17" t="str"/>
      <x:c r="D173" s="17" t="n">
        <x:v>0</x:v>
      </x:c>
      <x:c r="E173" s="17" t="n">
        <x:v>1</x:v>
      </x:c>
      <x:c r="F173" s="17" t="n">
        <x:v>0</x:v>
      </x:c>
      <x:c r="G173" s="17" t="n">
        <x:v>1</x:v>
      </x:c>
      <x:c r="H173" s="16" t="str"/>
      <x:c r="I173" s="16" t="str">
        <x:v>2026-08-03—2026-08-08｜第9届世界青年跨国锦标赛｜U21 Teams｜CHINA RDFZ BAXI</x:v>
      </x:c>
      <x:c r="J173" s="16" t="str"/>
    </x:row>
    <x:row r="174">
      <x:c r="A174" s="36" t="n">
        <x:v>133</x:v>
      </x:c>
      <x:c r="B174" s="36" t="str">
        <x:v>Yong Tao</x:v>
      </x:c>
      <x:c r="C174" s="36" t="str"/>
      <x:c r="D174" s="36" t="n">
        <x:v>0</x:v>
      </x:c>
      <x:c r="E174" s="36" t="n">
        <x:v>1</x:v>
      </x:c>
      <x:c r="F174" s="36" t="n">
        <x:v>0</x:v>
      </x:c>
      <x:c r="G174" s="36" t="n">
        <x:v>1</x:v>
      </x:c>
      <x:c r="H174" s="35" t="str"/>
      <x:c r="I174" s="35" t="str">
        <x:v>2016-08-03—2016-08-13｜世界青年团体锦标赛｜U26 Teams｜CHINA</x:v>
      </x:c>
      <x:c r="J174" s="35" t="str"/>
    </x:row>
    <x:row r="175">
      <x:c r="A175" s="17" t="n">
        <x:v>133</x:v>
      </x:c>
      <x:c r="B175" s="17" t="str">
        <x:v>Yu Yun</x:v>
      </x:c>
      <x:c r="C175" s="17" t="str"/>
      <x:c r="D175" s="17" t="n">
        <x:v>0</x:v>
      </x:c>
      <x:c r="E175" s="17" t="n">
        <x:v>1</x:v>
      </x:c>
      <x:c r="F175" s="17" t="n">
        <x:v>0</x:v>
      </x:c>
      <x:c r="G175" s="17" t="n">
        <x:v>1</x:v>
      </x:c>
      <x:c r="H175" s="16" t="str"/>
      <x:c r="I175" s="16" t="str">
        <x:v>2017-08-15—2017-08-24｜第5届世界青年公开锦标赛｜U21 Teams / Youngsters Teams｜SHENGXING TEAM</x:v>
      </x:c>
      <x:c r="J175" s="16" t="str"/>
    </x:row>
    <x:row r="176">
      <x:c r="A176" s="36" t="n">
        <x:v>133</x:v>
      </x:c>
      <x:c r="B176" s="36" t="str">
        <x:v>Yuantao Zheng</x:v>
      </x:c>
      <x:c r="C176" s="36" t="str"/>
      <x:c r="D176" s="36" t="n">
        <x:v>0</x:v>
      </x:c>
      <x:c r="E176" s="36" t="n">
        <x:v>1</x:v>
      </x:c>
      <x:c r="F176" s="36" t="n">
        <x:v>0</x:v>
      </x:c>
      <x:c r="G176" s="36" t="n">
        <x:v>1</x:v>
      </x:c>
      <x:c r="H176" s="35" t="str"/>
      <x:c r="I176" s="35" t="str">
        <x:v>2026-08-03—2026-08-08｜第9届世界青年跨国锦标赛｜U26 Pairs｜Chongshang Huang – Yuantao Zheng</x:v>
      </x:c>
      <x:c r="J176" s="35" t="str"/>
    </x:row>
    <x:row r="177">
      <x:c r="A177" s="17" t="n">
        <x:v>133</x:v>
      </x:c>
      <x:c r="B177" s="17" t="str">
        <x:v>Yuanzhe Ding</x:v>
      </x:c>
      <x:c r="C177" s="17" t="str"/>
      <x:c r="D177" s="17" t="n">
        <x:v>0</x:v>
      </x:c>
      <x:c r="E177" s="17" t="n">
        <x:v>1</x:v>
      </x:c>
      <x:c r="F177" s="17" t="n">
        <x:v>0</x:v>
      </x:c>
      <x:c r="G177" s="17" t="n">
        <x:v>1</x:v>
      </x:c>
      <x:c r="H177" s="16" t="str"/>
      <x:c r="I177" s="16" t="str">
        <x:v>2015-08-20—2015-08-29｜第4届世界青年公开锦标赛｜U16 Teams / Kids Teams｜CHINA RDFZ1</x:v>
      </x:c>
      <x:c r="J177" s="16" t="str"/>
    </x:row>
    <x:row r="178">
      <x:c r="A178" s="36" t="n">
        <x:v>133</x:v>
      </x:c>
      <x:c r="B178" s="36" t="str">
        <x:v>Yue Yu</x:v>
      </x:c>
      <x:c r="C178" s="36" t="str"/>
      <x:c r="D178" s="36" t="n">
        <x:v>0</x:v>
      </x:c>
      <x:c r="E178" s="36" t="n">
        <x:v>1</x:v>
      </x:c>
      <x:c r="F178" s="36" t="n">
        <x:v>0</x:v>
      </x:c>
      <x:c r="G178" s="36" t="n">
        <x:v>1</x:v>
      </x:c>
      <x:c r="H178" s="35" t="str"/>
      <x:c r="I178" s="35" t="str">
        <x:v>2015-08-20—2015-08-29｜第4届世界青年公开锦标赛｜U26 Women Teams / Girls Teams｜SX XHLD</x:v>
      </x:c>
      <x:c r="J178" s="35" t="str"/>
    </x:row>
    <x:row r="179">
      <x:c r="A179" s="17" t="n">
        <x:v>133</x:v>
      </x:c>
      <x:c r="B179" s="17" t="str">
        <x:v>Yuegang Kuang</x:v>
      </x:c>
      <x:c r="C179" s="17" t="str">
        <x:v>旷跃纲</x:v>
      </x:c>
      <x:c r="D179" s="17" t="n">
        <x:v>0</x:v>
      </x:c>
      <x:c r="E179" s="17" t="n">
        <x:v>1</x:v>
      </x:c>
      <x:c r="F179" s="17" t="n">
        <x:v>0</x:v>
      </x:c>
      <x:c r="G179" s="17" t="n">
        <x:v>1</x:v>
      </x:c>
      <x:c r="H179" s="16" t="str"/>
      <x:c r="I179" s="16" t="str">
        <x:v>2024-10-22—2024-11-03｜第16届世界桥牌运动会｜Mixed Teams 混合团体｜CHINA</x:v>
      </x:c>
      <x:c r="J179" s="16" t="str"/>
    </x:row>
    <x:row r="180">
      <x:c r="A180" s="36" t="n">
        <x:v>133</x:v>
      </x:c>
      <x:c r="B180" s="36" t="str">
        <x:v>Yuxuan Liu</x:v>
      </x:c>
      <x:c r="C180" s="36" t="str"/>
      <x:c r="D180" s="36" t="n">
        <x:v>0</x:v>
      </x:c>
      <x:c r="E180" s="36" t="n">
        <x:v>1</x:v>
      </x:c>
      <x:c r="F180" s="36" t="n">
        <x:v>0</x:v>
      </x:c>
      <x:c r="G180" s="36" t="n">
        <x:v>1</x:v>
      </x:c>
      <x:c r="H180" s="35" t="str"/>
      <x:c r="I180" s="35" t="str">
        <x:v>2026-08-03—2026-08-08｜第9届世界青年跨国锦标赛｜U21 Pairs｜Jeff Xiao – Yuxuan Liu</x:v>
      </x:c>
      <x:c r="J180" s="35" t="str"/>
    </x:row>
    <x:row r="181">
      <x:c r="A181" s="17" t="n">
        <x:v>133</x:v>
      </x:c>
      <x:c r="B181" s="17" t="str">
        <x:v>Zhengjiang Liao</x:v>
      </x:c>
      <x:c r="C181" s="17" t="str"/>
      <x:c r="D181" s="17" t="n">
        <x:v>0</x:v>
      </x:c>
      <x:c r="E181" s="17" t="n">
        <x:v>1</x:v>
      </x:c>
      <x:c r="F181" s="17" t="n">
        <x:v>0</x:v>
      </x:c>
      <x:c r="G181" s="17" t="n">
        <x:v>1</x:v>
      </x:c>
      <x:c r="H181" s="16" t="str"/>
      <x:c r="I181" s="16" t="str">
        <x:v>2025-08-20—2025-08-31｜第47届世界桥牌团体锦标赛｜Venice Cup 女子团体｜CHINA</x:v>
      </x:c>
      <x:c r="J181" s="16" t="str"/>
    </x:row>
    <x:row r="182">
      <x:c r="A182" s="36" t="n">
        <x:v>133</x:v>
      </x:c>
      <x:c r="B182" s="36" t="str">
        <x:v>Zhi Tang</x:v>
      </x:c>
      <x:c r="C182" s="36" t="str"/>
      <x:c r="D182" s="36" t="n">
        <x:v>0</x:v>
      </x:c>
      <x:c r="E182" s="36" t="n">
        <x:v>1</x:v>
      </x:c>
      <x:c r="F182" s="36" t="n">
        <x:v>0</x:v>
      </x:c>
      <x:c r="G182" s="36" t="n">
        <x:v>1</x:v>
      </x:c>
      <x:c r="H182" s="35" t="str"/>
      <x:c r="I182" s="35" t="str">
        <x:v>2016-08-03—2016-08-13｜世界青年团体锦标赛｜U26 Teams｜CHINA</x:v>
      </x:c>
      <x:c r="J182" s="35" t="str"/>
    </x:row>
    <x:row r="183">
      <x:c r="A183" s="17" t="n">
        <x:v>133</x:v>
      </x:c>
      <x:c r="B183" s="17" t="str">
        <x:v>Zi Jian Shao</x:v>
      </x:c>
      <x:c r="C183" s="17" t="str"/>
      <x:c r="D183" s="17" t="n">
        <x:v>0</x:v>
      </x:c>
      <x:c r="E183" s="17" t="n">
        <x:v>1</x:v>
      </x:c>
      <x:c r="F183" s="17" t="n">
        <x:v>0</x:v>
      </x:c>
      <x:c r="G183" s="17" t="n">
        <x:v>1</x:v>
      </x:c>
      <x:c r="H183" s="16" t="str"/>
      <x:c r="I183" s="16" t="str">
        <x:v>2013｜世界桥牌团体锦标赛｜Transnational Open Teams 跨国公开团体｜CHINA</x:v>
      </x:c>
      <x:c r="J183" s="16" t="str"/>
    </x:row>
    <x:row r="184">
      <x:c r="A184" s="36" t="n">
        <x:v>133</x:v>
      </x:c>
      <x:c r="B184" s="36" t="str">
        <x:v>Zijian Shao</x:v>
      </x:c>
      <x:c r="C184" s="36" t="str"/>
      <x:c r="D184" s="36" t="n">
        <x:v>0</x:v>
      </x:c>
      <x:c r="E184" s="36" t="n">
        <x:v>1</x:v>
      </x:c>
      <x:c r="F184" s="36" t="n">
        <x:v>0</x:v>
      </x:c>
      <x:c r="G184" s="36" t="n">
        <x:v>1</x:v>
      </x:c>
      <x:c r="H184" s="35" t="str"/>
      <x:c r="I184" s="35" t="str">
        <x:v>2025-08-20—2025-08-31｜第47届世界桥牌团体锦标赛｜Wuhan Cup 混合团体｜CHINA</x:v>
      </x:c>
      <x:c r="J184" s="35" t="str"/>
    </x:row>
    <x:row r="185">
      <x:c r="A185" s="17" t="n">
        <x:v>133</x:v>
      </x:c>
      <x:c r="B185" s="17" t="str">
        <x:v>Zixi Cai</x:v>
      </x:c>
      <x:c r="C185" s="17" t="str"/>
      <x:c r="D185" s="17" t="n">
        <x:v>0</x:v>
      </x:c>
      <x:c r="E185" s="17" t="n">
        <x:v>1</x:v>
      </x:c>
      <x:c r="F185" s="17" t="n">
        <x:v>0</x:v>
      </x:c>
      <x:c r="G185" s="17" t="n">
        <x:v>1</x:v>
      </x:c>
      <x:c r="H185" s="16" t="str"/>
      <x:c r="I185" s="16" t="str">
        <x:v>2015-08-20—2015-08-29｜第4届世界青年公开锦标赛｜U16 Teams / Kids Teams｜CHINA RDFZ1</x:v>
      </x:c>
      <x:c r="J185" s="16" t="str"/>
    </x:row>
    <x:row r="186">
      <x:c r="A186" s="36" t="n">
        <x:v>182</x:v>
      </x:c>
      <x:c r="B186" s="36" t="str">
        <x:v>Hao Xu</x:v>
      </x:c>
      <x:c r="C186" s="36" t="str"/>
      <x:c r="D186" s="36" t="n">
        <x:v>0</x:v>
      </x:c>
      <x:c r="E186" s="36" t="n">
        <x:v>0</x:v>
      </x:c>
      <x:c r="F186" s="36" t="n">
        <x:v>3</x:v>
      </x:c>
      <x:c r="G186" s="36" t="n">
        <x:v>3</x:v>
      </x:c>
      <x:c r="H186" s="35" t="str"/>
      <x:c r="I186" s="35" t="str"/>
      <x:c r="J186" s="35" t="str">
        <x:v>2017-08-15—2017-08-24｜第5届世界青年公开锦标赛｜U16 BAM｜SHENGXING SATURN
2017-08-15—2017-08-24｜第5届世界青年公开锦标赛｜U16 Teams / Kids Teams｜SHENGXING SATURN
2019-08-20—2019-08-29｜第6届世界青年公开锦标赛｜Youth BAM｜SXNEBULA</x:v>
      </x:c>
    </x:row>
    <x:row r="187">
      <x:c r="A187" s="17" t="n">
        <x:v>182</x:v>
      </x:c>
      <x:c r="B187" s="17" t="str">
        <x:v>Jiahao Yang</x:v>
      </x:c>
      <x:c r="C187" s="17" t="str"/>
      <x:c r="D187" s="17" t="n">
        <x:v>0</x:v>
      </x:c>
      <x:c r="E187" s="17" t="n">
        <x:v>0</x:v>
      </x:c>
      <x:c r="F187" s="17" t="n">
        <x:v>3</x:v>
      </x:c>
      <x:c r="G187" s="17" t="n">
        <x:v>3</x:v>
      </x:c>
      <x:c r="H187" s="16" t="str"/>
      <x:c r="I187" s="16" t="str"/>
      <x:c r="J187" s="16" t="str">
        <x:v>2017-08-15—2017-08-24｜第5届世界青年公开锦标赛｜U16 BAM｜SHENGXING SATURN
2017-08-15—2017-08-24｜第5届世界青年公开锦标赛｜U16 Teams / Kids Teams｜SHENGXING SATURN
2019-08-20—2019-08-29｜第6届世界青年公开锦标赛｜Youth BAM｜SXNEBULA</x:v>
      </x:c>
    </x:row>
    <x:row r="188">
      <x:c r="A188" s="36" t="n">
        <x:v>182</x:v>
      </x:c>
      <x:c r="B188" s="36" t="str">
        <x:v>Junjie Hu</x:v>
      </x:c>
      <x:c r="C188" s="36" t="str"/>
      <x:c r="D188" s="36" t="n">
        <x:v>0</x:v>
      </x:c>
      <x:c r="E188" s="36" t="n">
        <x:v>0</x:v>
      </x:c>
      <x:c r="F188" s="36" t="n">
        <x:v>3</x:v>
      </x:c>
      <x:c r="G188" s="36" t="n">
        <x:v>3</x:v>
      </x:c>
      <x:c r="H188" s="35" t="str"/>
      <x:c r="I188" s="35" t="str"/>
      <x:c r="J188" s="35" t="str">
        <x:v>2008-10-03—2008-10-18｜第1届世界智力运动会 / 世界桥牌运动会｜U21 Teams 青年团体｜CHINA
2010-10｜世界青年团体锦标赛｜U26 Teams｜CHINA
2012-07-25—2012-08-04｜世界青年团体锦标赛｜U26 Teams｜CHINA</x:v>
      </x:c>
    </x:row>
    <x:row r="189">
      <x:c r="A189" s="17" t="n">
        <x:v>182</x:v>
      </x:c>
      <x:c r="B189" s="17" t="str">
        <x:v>Licong Cheng</x:v>
      </x:c>
      <x:c r="C189" s="17" t="str"/>
      <x:c r="D189" s="17" t="n">
        <x:v>0</x:v>
      </x:c>
      <x:c r="E189" s="17" t="n">
        <x:v>0</x:v>
      </x:c>
      <x:c r="F189" s="17" t="n">
        <x:v>3</x:v>
      </x:c>
      <x:c r="G189" s="17" t="n">
        <x:v>3</x:v>
      </x:c>
      <x:c r="H189" s="16" t="str"/>
      <x:c r="I189" s="16" t="str"/>
      <x:c r="J189" s="16" t="str">
        <x:v>2017-08-15—2017-08-24｜第5届世界青年公开锦标赛｜U16 BAM｜SHENGXING SATURN
2017-08-15—2017-08-24｜第5届世界青年公开锦标赛｜U16 Pairs / Kids Pairs｜Licong Cheng – Penghao Wang
2017-08-15—2017-08-24｜第5届世界青年公开锦标赛｜U16 Teams / Kids Teams｜SHENGXING SATURN</x:v>
      </x:c>
    </x:row>
    <x:row r="190">
      <x:c r="A190" s="36" t="n">
        <x:v>186</x:v>
      </x:c>
      <x:c r="B190" s="36" t="str">
        <x:v>Hanyang Dai</x:v>
      </x:c>
      <x:c r="C190" s="36" t="str"/>
      <x:c r="D190" s="36" t="n">
        <x:v>0</x:v>
      </x:c>
      <x:c r="E190" s="36" t="n">
        <x:v>0</x:v>
      </x:c>
      <x:c r="F190" s="36" t="n">
        <x:v>2</x:v>
      </x:c>
      <x:c r="G190" s="36" t="n">
        <x:v>2</x:v>
      </x:c>
      <x:c r="H190" s="35" t="str"/>
      <x:c r="I190" s="35" t="str"/>
      <x:c r="J190" s="35" t="str">
        <x:v>2015-08-20—2015-08-29｜第4届世界青年公开锦标赛｜U16 Teams / Kids Teams｜SX XNWY
2019-08-20—2019-08-29｜第6届世界青年公开锦标赛｜Youth BAM｜SXNEBULA</x:v>
      </x:c>
    </x:row>
    <x:row r="191">
      <x:c r="A191" s="17" t="n">
        <x:v>186</x:v>
      </x:c>
      <x:c r="B191" s="17" t="str">
        <x:v>Kai Jin</x:v>
      </x:c>
      <x:c r="C191" s="17" t="str"/>
      <x:c r="D191" s="17" t="n">
        <x:v>0</x:v>
      </x:c>
      <x:c r="E191" s="17" t="n">
        <x:v>0</x:v>
      </x:c>
      <x:c r="F191" s="17" t="n">
        <x:v>2</x:v>
      </x:c>
      <x:c r="G191" s="17" t="n">
        <x:v>2</x:v>
      </x:c>
      <x:c r="H191" s="16" t="str"/>
      <x:c r="I191" s="16" t="str"/>
      <x:c r="J191" s="16" t="str">
        <x:v>2013｜第3届世界青年公开锦标赛｜U21 Pairs / Youngsters Pairs｜Kai Jin – Tianyi Jin
2013｜第3届世界青年公开锦标赛｜U21 Teams / Youngsters Teams｜CHINA XNWY</x:v>
      </x:c>
    </x:row>
    <x:row r="192">
      <x:c r="A192" s="36" t="n">
        <x:v>186</x:v>
      </x:c>
      <x:c r="B192" s="36" t="str">
        <x:v>Tianyi Jin</x:v>
      </x:c>
      <x:c r="C192" s="36" t="str"/>
      <x:c r="D192" s="36" t="n">
        <x:v>0</x:v>
      </x:c>
      <x:c r="E192" s="36" t="n">
        <x:v>0</x:v>
      </x:c>
      <x:c r="F192" s="36" t="n">
        <x:v>2</x:v>
      </x:c>
      <x:c r="G192" s="36" t="n">
        <x:v>2</x:v>
      </x:c>
      <x:c r="H192" s="35" t="str"/>
      <x:c r="I192" s="35" t="str"/>
      <x:c r="J192" s="35" t="str">
        <x:v>2013｜第3届世界青年公开锦标赛｜U21 Pairs / Youngsters Pairs｜Kai Jin – Tianyi Jin
2013｜第3届世界青年公开锦标赛｜U21 Teams / Youngsters Teams｜CHINA XNWY</x:v>
      </x:c>
    </x:row>
    <x:row r="193">
      <x:c r="A193" s="17" t="n">
        <x:v>186</x:v>
      </x:c>
      <x:c r="B193" s="17" t="str">
        <x:v>Yinpei Shao</x:v>
      </x:c>
      <x:c r="C193" s="17" t="str"/>
      <x:c r="D193" s="17" t="n">
        <x:v>0</x:v>
      </x:c>
      <x:c r="E193" s="17" t="n">
        <x:v>0</x:v>
      </x:c>
      <x:c r="F193" s="17" t="n">
        <x:v>2</x:v>
      </x:c>
      <x:c r="G193" s="17" t="n">
        <x:v>2</x:v>
      </x:c>
      <x:c r="H193" s="16" t="str"/>
      <x:c r="I193" s="16" t="str"/>
      <x:c r="J193" s="16" t="str">
        <x:v>2010-10｜世界青年团体锦标赛｜U26 Teams｜CHINA
2012-07-25—2012-08-04｜世界青年团体锦标赛｜U26 Teams｜CHINA</x:v>
      </x:c>
    </x:row>
    <x:row r="194">
      <x:c r="A194" s="36" t="n">
        <x:v>186</x:v>
      </x:c>
      <x:c r="B194" s="36" t="str">
        <x:v>Yujie Jiang</x:v>
      </x:c>
      <x:c r="C194" s="36" t="str"/>
      <x:c r="D194" s="36" t="n">
        <x:v>0</x:v>
      </x:c>
      <x:c r="E194" s="36" t="n">
        <x:v>0</x:v>
      </x:c>
      <x:c r="F194" s="36" t="n">
        <x:v>2</x:v>
      </x:c>
      <x:c r="G194" s="36" t="n">
        <x:v>2</x:v>
      </x:c>
      <x:c r="H194" s="35" t="str"/>
      <x:c r="I194" s="35" t="str"/>
      <x:c r="J194" s="35" t="str">
        <x:v>2008-10-03—2008-10-18｜第1届世界智力运动会 / 世界桥牌运动会｜U21 Teams 青年团体｜CHINA
2012-07-25—2012-08-04｜世界青年团体锦标赛｜U26 Teams｜CHINA</x:v>
      </x:c>
    </x:row>
    <x:row r="195">
      <x:c r="A195" s="17" t="n">
        <x:v>191</x:v>
      </x:c>
      <x:c r="B195" s="17" t="str">
        <x:v>Bangxiang Zhang</x:v>
      </x:c>
      <x:c r="C195" s="17" t="str"/>
      <x:c r="D195" s="17" t="n">
        <x:v>0</x:v>
      </x:c>
      <x:c r="E195" s="17" t="n">
        <x:v>0</x:v>
      </x:c>
      <x:c r="F195" s="17" t="n">
        <x:v>1</x:v>
      </x:c>
      <x:c r="G195" s="17" t="n">
        <x:v>1</x:v>
      </x:c>
      <x:c r="H195" s="16" t="str"/>
      <x:c r="I195" s="16" t="str"/>
      <x:c r="J195" s="16" t="str">
        <x:v>2014-10｜世界桥牌综合锦标赛｜Mixed Pairs 混合双人｜Bangxiang Zhang – Nan Wang</x:v>
      </x:c>
    </x:row>
    <x:row r="196">
      <x:c r="A196" s="36" t="n">
        <x:v>191</x:v>
      </x:c>
      <x:c r="B196" s="36" t="str">
        <x:v>Bing Du</x:v>
      </x:c>
      <x:c r="C196" s="36" t="str"/>
      <x:c r="D196" s="36" t="n">
        <x:v>0</x:v>
      </x:c>
      <x:c r="E196" s="36" t="n">
        <x:v>0</x:v>
      </x:c>
      <x:c r="F196" s="36" t="n">
        <x:v>1</x:v>
      </x:c>
      <x:c r="G196" s="36" t="n">
        <x:v>1</x:v>
      </x:c>
      <x:c r="H196" s="35" t="str"/>
      <x:c r="I196" s="35" t="str"/>
      <x:c r="J196" s="35" t="str">
        <x:v>2008-10-03—2008-10-18｜第1届世界智力运动会 / 世界桥牌运动会｜Transnational Mixed Teams 跨国混合团体｜A-EVERTRUST HOLDING GROUP</x:v>
      </x:c>
    </x:row>
    <x:row r="197">
      <x:c r="A197" s="17" t="n">
        <x:v>191</x:v>
      </x:c>
      <x:c r="B197" s="17" t="str">
        <x:v>Can Ge</x:v>
      </x:c>
      <x:c r="C197" s="17" t="str"/>
      <x:c r="D197" s="17" t="n">
        <x:v>0</x:v>
      </x:c>
      <x:c r="E197" s="17" t="n">
        <x:v>0</x:v>
      </x:c>
      <x:c r="F197" s="17" t="n">
        <x:v>1</x:v>
      </x:c>
      <x:c r="G197" s="17" t="n">
        <x:v>1</x:v>
      </x:c>
      <x:c r="H197" s="16" t="str"/>
      <x:c r="I197" s="16" t="str"/>
      <x:c r="J197" s="16" t="str">
        <x:v>2026-08-03—2026-08-08｜第9届世界青年跨国锦标赛｜U26 Women Teams｜SHANDONG YANTAI</x:v>
      </x:c>
    </x:row>
    <x:row r="198">
      <x:c r="A198" s="36" t="n">
        <x:v>191</x:v>
      </x:c>
      <x:c r="B198" s="36" t="str">
        <x:v>Cheng Lin</x:v>
      </x:c>
      <x:c r="C198" s="36" t="str"/>
      <x:c r="D198" s="36" t="n">
        <x:v>0</x:v>
      </x:c>
      <x:c r="E198" s="36" t="n">
        <x:v>0</x:v>
      </x:c>
      <x:c r="F198" s="36" t="n">
        <x:v>1</x:v>
      </x:c>
      <x:c r="G198" s="36" t="n">
        <x:v>1</x:v>
      </x:c>
      <x:c r="H198" s="35" t="str"/>
      <x:c r="I198" s="35" t="str"/>
      <x:c r="J198" s="35" t="str">
        <x:v>2026-08-03—2026-08-08｜第9届世界青年跨国锦标赛｜U16 Teams｜SHANGHAI NTBC TANK</x:v>
      </x:c>
    </x:row>
    <x:row r="199">
      <x:c r="A199" s="17" t="n">
        <x:v>191</x:v>
      </x:c>
      <x:c r="B199" s="17" t="str">
        <x:v>Chenyang Xiong</x:v>
      </x:c>
      <x:c r="C199" s="17" t="str"/>
      <x:c r="D199" s="17" t="n">
        <x:v>0</x:v>
      </x:c>
      <x:c r="E199" s="17" t="n">
        <x:v>0</x:v>
      </x:c>
      <x:c r="F199" s="17" t="n">
        <x:v>1</x:v>
      </x:c>
      <x:c r="G199" s="17" t="n">
        <x:v>1</x:v>
      </x:c>
      <x:c r="H199" s="16" t="str"/>
      <x:c r="I199" s="16" t="str"/>
      <x:c r="J199" s="16" t="str">
        <x:v>2026-08-03—2026-08-08｜第9届世界青年跨国锦标赛｜U16 Teams｜SHANGHAI NTBC TANK</x:v>
      </x:c>
    </x:row>
    <x:row r="200">
      <x:c r="A200" s="36" t="n">
        <x:v>191</x:v>
      </x:c>
      <x:c r="B200" s="36" t="str">
        <x:v>Chujia Pan</x:v>
      </x:c>
      <x:c r="C200" s="36" t="str"/>
      <x:c r="D200" s="36" t="n">
        <x:v>0</x:v>
      </x:c>
      <x:c r="E200" s="36" t="n">
        <x:v>0</x:v>
      </x:c>
      <x:c r="F200" s="36" t="n">
        <x:v>1</x:v>
      </x:c>
      <x:c r="G200" s="36" t="n">
        <x:v>1</x:v>
      </x:c>
      <x:c r="H200" s="35" t="str"/>
      <x:c r="I200" s="35" t="str"/>
      <x:c r="J200" s="35" t="str">
        <x:v>2025-07-12—2025-07-17｜第19届世界青年团体锦标赛｜U26 Women Teams｜CHINA</x:v>
      </x:c>
    </x:row>
    <x:row r="201">
      <x:c r="A201" s="17" t="n">
        <x:v>191</x:v>
      </x:c>
      <x:c r="B201" s="17" t="str">
        <x:v>Chunhui Dong</x:v>
      </x:c>
      <x:c r="C201" s="17" t="str"/>
      <x:c r="D201" s="17" t="n">
        <x:v>0</x:v>
      </x:c>
      <x:c r="E201" s="17" t="n">
        <x:v>0</x:v>
      </x:c>
      <x:c r="F201" s="17" t="n">
        <x:v>1</x:v>
      </x:c>
      <x:c r="G201" s="17" t="n">
        <x:v>1</x:v>
      </x:c>
      <x:c r="H201" s="16" t="str"/>
      <x:c r="I201" s="16" t="str"/>
      <x:c r="J201" s="16" t="str">
        <x:v>2008-10-03—2008-10-18｜第1届世界智力运动会 / 世界桥牌运动会｜U21 Teams 青年团体｜CHINA</x:v>
      </x:c>
    </x:row>
    <x:row r="202">
      <x:c r="A202" s="36" t="n">
        <x:v>191</x:v>
      </x:c>
      <x:c r="B202" s="36" t="str">
        <x:v>Di Wang</x:v>
      </x:c>
      <x:c r="C202" s="36" t="str"/>
      <x:c r="D202" s="36" t="n">
        <x:v>0</x:v>
      </x:c>
      <x:c r="E202" s="36" t="n">
        <x:v>0</x:v>
      </x:c>
      <x:c r="F202" s="36" t="n">
        <x:v>1</x:v>
      </x:c>
      <x:c r="G202" s="36" t="n">
        <x:v>1</x:v>
      </x:c>
      <x:c r="H202" s="35" t="str"/>
      <x:c r="I202" s="35" t="str"/>
      <x:c r="J202" s="35" t="str">
        <x:v>2026-08-03—2026-08-08｜第9届世界青年跨国锦标赛｜U16 Teams｜SHANGHAI NTBC TANK</x:v>
      </x:c>
    </x:row>
    <x:row r="203">
      <x:c r="A203" s="17" t="n">
        <x:v>191</x:v>
      </x:c>
      <x:c r="B203" s="17" t="str">
        <x:v>Di Zhuo</x:v>
      </x:c>
      <x:c r="C203" s="17" t="str"/>
      <x:c r="D203" s="17" t="n">
        <x:v>0</x:v>
      </x:c>
      <x:c r="E203" s="17" t="n">
        <x:v>0</x:v>
      </x:c>
      <x:c r="F203" s="17" t="n">
        <x:v>1</x:v>
      </x:c>
      <x:c r="G203" s="17" t="n">
        <x:v>1</x:v>
      </x:c>
      <x:c r="H203" s="16" t="str"/>
      <x:c r="I203" s="16" t="str"/>
      <x:c r="J203" s="16" t="str">
        <x:v>2010-10｜世界青年团体锦标赛｜U26 Teams｜CHINA</x:v>
      </x:c>
    </x:row>
    <x:row r="204">
      <x:c r="A204" s="36" t="n">
        <x:v>191</x:v>
      </x:c>
      <x:c r="B204" s="36" t="str">
        <x:v>Felicia Yu</x:v>
      </x:c>
      <x:c r="C204" s="36" t="str"/>
      <x:c r="D204" s="36" t="n">
        <x:v>0</x:v>
      </x:c>
      <x:c r="E204" s="36" t="n">
        <x:v>0</x:v>
      </x:c>
      <x:c r="F204" s="36" t="n">
        <x:v>1</x:v>
      </x:c>
      <x:c r="G204" s="36" t="n">
        <x:v>1</x:v>
      </x:c>
      <x:c r="H204" s="35" t="str"/>
      <x:c r="I204" s="35" t="str"/>
      <x:c r="J204" s="35" t="str">
        <x:v>2013｜第3届世界青年公开锦标赛｜U21 Teams / Youngsters Teams｜CHINA XNWY</x:v>
      </x:c>
    </x:row>
    <x:row r="205">
      <x:c r="A205" s="17" t="n">
        <x:v>191</x:v>
      </x:c>
      <x:c r="B205" s="17" t="str">
        <x:v>Guangli Wendy Liu</x:v>
      </x:c>
      <x:c r="C205" s="17" t="str"/>
      <x:c r="D205" s="17" t="n">
        <x:v>0</x:v>
      </x:c>
      <x:c r="E205" s="17" t="n">
        <x:v>0</x:v>
      </x:c>
      <x:c r="F205" s="17" t="n">
        <x:v>1</x:v>
      </x:c>
      <x:c r="G205" s="17" t="n">
        <x:v>1</x:v>
      </x:c>
      <x:c r="H205" s="16" t="str"/>
      <x:c r="I205" s="16" t="str"/>
      <x:c r="J205" s="16" t="str">
        <x:v>2015-08-20—2015-08-29｜第4届世界青年公开锦标赛｜U26 Women Teams / Girls Teams｜CHINA RDFZ GIRLS</x:v>
      </x:c>
    </x:row>
    <x:row r="206">
      <x:c r="A206" s="36" t="n">
        <x:v>191</x:v>
      </x:c>
      <x:c r="B206" s="36" t="str">
        <x:v>Jiahe Shen</x:v>
      </x:c>
      <x:c r="C206" s="36" t="str"/>
      <x:c r="D206" s="36" t="n">
        <x:v>0</x:v>
      </x:c>
      <x:c r="E206" s="36" t="n">
        <x:v>0</x:v>
      </x:c>
      <x:c r="F206" s="36" t="n">
        <x:v>1</x:v>
      </x:c>
      <x:c r="G206" s="36" t="n">
        <x:v>1</x:v>
      </x:c>
      <x:c r="H206" s="35" t="str"/>
      <x:c r="I206" s="35" t="str"/>
      <x:c r="J206" s="35" t="str">
        <x:v>2014-08-13—2014-08-23｜世界青年团体锦标赛｜U16 Teams｜CHINA</x:v>
      </x:c>
    </x:row>
    <x:row r="207">
      <x:c r="A207" s="17" t="n">
        <x:v>191</x:v>
      </x:c>
      <x:c r="B207" s="17" t="str">
        <x:v>Jianqiu Shen</x:v>
      </x:c>
      <x:c r="C207" s="17" t="str"/>
      <x:c r="D207" s="17" t="n">
        <x:v>0</x:v>
      </x:c>
      <x:c r="E207" s="17" t="n">
        <x:v>0</x:v>
      </x:c>
      <x:c r="F207" s="17" t="n">
        <x:v>1</x:v>
      </x:c>
      <x:c r="G207" s="17" t="n">
        <x:v>1</x:v>
      </x:c>
      <x:c r="H207" s="16" t="str"/>
      <x:c r="I207" s="16" t="str"/>
      <x:c r="J207" s="16" t="str">
        <x:v>2012-07-25—2012-08-04｜世界青年团体锦标赛｜U26 Teams｜CHINA</x:v>
      </x:c>
    </x:row>
    <x:row r="208">
      <x:c r="A208" s="36" t="n">
        <x:v>191</x:v>
      </x:c>
      <x:c r="B208" s="36" t="str">
        <x:v>Jing Liu</x:v>
      </x:c>
      <x:c r="C208" s="36" t="str"/>
      <x:c r="D208" s="36" t="n">
        <x:v>0</x:v>
      </x:c>
      <x:c r="E208" s="36" t="n">
        <x:v>0</x:v>
      </x:c>
      <x:c r="F208" s="36" t="n">
        <x:v>1</x:v>
      </x:c>
      <x:c r="G208" s="36" t="n">
        <x:v>1</x:v>
      </x:c>
      <x:c r="H208" s="35" t="str"/>
      <x:c r="I208" s="35" t="str"/>
      <x:c r="J208" s="35" t="str">
        <x:v>2008-10-03—2008-10-18｜第1届世界智力运动会 / 世界桥牌运动会｜U28 Teams 青年团体｜CHINA</x:v>
      </x:c>
    </x:row>
    <x:row r="209">
      <x:c r="A209" s="17" t="n">
        <x:v>191</x:v>
      </x:c>
      <x:c r="B209" s="17" t="str">
        <x:v>Kai Lu</x:v>
      </x:c>
      <x:c r="C209" s="17" t="str"/>
      <x:c r="D209" s="17" t="n">
        <x:v>0</x:v>
      </x:c>
      <x:c r="E209" s="17" t="n">
        <x:v>0</x:v>
      </x:c>
      <x:c r="F209" s="17" t="n">
        <x:v>1</x:v>
      </x:c>
      <x:c r="G209" s="17" t="n">
        <x:v>1</x:v>
      </x:c>
      <x:c r="H209" s="16" t="str"/>
      <x:c r="I209" s="16" t="str"/>
      <x:c r="J209" s="16" t="str">
        <x:v>2012-07-25—2012-08-04｜世界青年团体锦标赛｜U26 Teams｜CHINA</x:v>
      </x:c>
    </x:row>
    <x:row r="210">
      <x:c r="A210" s="36" t="n">
        <x:v>191</x:v>
      </x:c>
      <x:c r="B210" s="36" t="str">
        <x:v>Kaiwen Yu</x:v>
      </x:c>
      <x:c r="C210" s="36" t="str"/>
      <x:c r="D210" s="36" t="n">
        <x:v>0</x:v>
      </x:c>
      <x:c r="E210" s="36" t="n">
        <x:v>0</x:v>
      </x:c>
      <x:c r="F210" s="36" t="n">
        <x:v>1</x:v>
      </x:c>
      <x:c r="G210" s="36" t="n">
        <x:v>1</x:v>
      </x:c>
      <x:c r="H210" s="35" t="str"/>
      <x:c r="I210" s="35" t="str"/>
      <x:c r="J210" s="35" t="str">
        <x:v>2013｜第3届世界青年公开锦标赛｜U21 Teams / Youngsters Teams｜CHINA XNWY</x:v>
      </x:c>
    </x:row>
    <x:row r="211">
      <x:c r="A211" s="17" t="n">
        <x:v>191</x:v>
      </x:c>
      <x:c r="B211" s="17" t="str">
        <x:v>Ling Hu</x:v>
      </x:c>
      <x:c r="C211" s="17" t="str"/>
      <x:c r="D211" s="17" t="n">
        <x:v>0</x:v>
      </x:c>
      <x:c r="E211" s="17" t="n">
        <x:v>0</x:v>
      </x:c>
      <x:c r="F211" s="17" t="n">
        <x:v>1</x:v>
      </x:c>
      <x:c r="G211" s="17" t="n">
        <x:v>1</x:v>
      </x:c>
      <x:c r="H211" s="16" t="str"/>
      <x:c r="I211" s="16" t="str"/>
      <x:c r="J211" s="16" t="str">
        <x:v>2015-08-20—2015-08-29｜第4届世界青年公开锦标赛｜U26 Women Teams / Girls Teams｜CHINA RDFZ GIRLS</x:v>
      </x:c>
    </x:row>
    <x:row r="212">
      <x:c r="A212" s="36" t="n">
        <x:v>191</x:v>
      </x:c>
      <x:c r="B212" s="36" t="str">
        <x:v>Lingyi Ma</x:v>
      </x:c>
      <x:c r="C212" s="36" t="str"/>
      <x:c r="D212" s="36" t="n">
        <x:v>0</x:v>
      </x:c>
      <x:c r="E212" s="36" t="n">
        <x:v>0</x:v>
      </x:c>
      <x:c r="F212" s="36" t="n">
        <x:v>1</x:v>
      </x:c>
      <x:c r="G212" s="36" t="n">
        <x:v>1</x:v>
      </x:c>
      <x:c r="H212" s="35" t="str"/>
      <x:c r="I212" s="35" t="str"/>
      <x:c r="J212" s="35" t="str">
        <x:v>2015-08-20—2015-08-29｜第4届世界青年公开锦标赛｜U26 Women Teams / Girls Teams｜CHINA RDFZ GIRLS</x:v>
      </x:c>
    </x:row>
    <x:row r="213">
      <x:c r="A213" s="17" t="n">
        <x:v>191</x:v>
      </x:c>
      <x:c r="B213" s="17" t="str">
        <x:v>Lingyun Teng</x:v>
      </x:c>
      <x:c r="C213" s="17" t="str"/>
      <x:c r="D213" s="17" t="n">
        <x:v>0</x:v>
      </x:c>
      <x:c r="E213" s="17" t="n">
        <x:v>0</x:v>
      </x:c>
      <x:c r="F213" s="17" t="n">
        <x:v>1</x:v>
      </x:c>
      <x:c r="G213" s="17" t="n">
        <x:v>1</x:v>
      </x:c>
      <x:c r="H213" s="16" t="str"/>
      <x:c r="I213" s="16" t="str"/>
      <x:c r="J213" s="16" t="str">
        <x:v>2025-07-12—2025-07-17｜第19届世界青年团体锦标赛｜U26 Women Teams｜CHINA</x:v>
      </x:c>
    </x:row>
    <x:row r="214">
      <x:c r="A214" s="36" t="n">
        <x:v>191</x:v>
      </x:c>
      <x:c r="B214" s="36" t="str">
        <x:v>Lulu Peng</x:v>
      </x:c>
      <x:c r="C214" s="36" t="str"/>
      <x:c r="D214" s="36" t="n">
        <x:v>0</x:v>
      </x:c>
      <x:c r="E214" s="36" t="n">
        <x:v>0</x:v>
      </x:c>
      <x:c r="F214" s="36" t="n">
        <x:v>1</x:v>
      </x:c>
      <x:c r="G214" s="36" t="n">
        <x:v>1</x:v>
      </x:c>
      <x:c r="H214" s="35" t="str"/>
      <x:c r="I214" s="35" t="str"/>
      <x:c r="J214" s="35" t="str">
        <x:v>2010-10｜世界青年团体锦标赛｜U26 Women Teams｜CHINA</x:v>
      </x:c>
    </x:row>
    <x:row r="215">
      <x:c r="A215" s="17" t="n">
        <x:v>191</x:v>
      </x:c>
      <x:c r="B215" s="17" t="str">
        <x:v>Meiling Zhou</x:v>
      </x:c>
      <x:c r="C215" s="17" t="str"/>
      <x:c r="D215" s="17" t="n">
        <x:v>0</x:v>
      </x:c>
      <x:c r="E215" s="17" t="n">
        <x:v>0</x:v>
      </x:c>
      <x:c r="F215" s="17" t="n">
        <x:v>1</x:v>
      </x:c>
      <x:c r="G215" s="17" t="n">
        <x:v>1</x:v>
      </x:c>
      <x:c r="H215" s="16" t="str"/>
      <x:c r="I215" s="16" t="str"/>
      <x:c r="J215" s="16" t="str">
        <x:v>2023-08｜世界桥牌团体锦标赛｜Venice Cup 女子团体｜CHINA</x:v>
      </x:c>
    </x:row>
    <x:row r="216">
      <x:c r="A216" s="36" t="n">
        <x:v>191</x:v>
      </x:c>
      <x:c r="B216" s="36" t="str">
        <x:v>Mengqi Hao</x:v>
      </x:c>
      <x:c r="C216" s="36" t="str"/>
      <x:c r="D216" s="36" t="n">
        <x:v>0</x:v>
      </x:c>
      <x:c r="E216" s="36" t="n">
        <x:v>0</x:v>
      </x:c>
      <x:c r="F216" s="36" t="n">
        <x:v>1</x:v>
      </x:c>
      <x:c r="G216" s="36" t="n">
        <x:v>1</x:v>
      </x:c>
      <x:c r="H216" s="35" t="str"/>
      <x:c r="I216" s="35" t="str"/>
      <x:c r="J216" s="35" t="str">
        <x:v>2015-08-20—2015-08-29｜第4届世界青年公开锦标赛｜U26 Women Teams / Girls Teams｜CHINA RDFZ GIRLS</x:v>
      </x:c>
    </x:row>
    <x:row r="217">
      <x:c r="A217" s="17" t="n">
        <x:v>191</x:v>
      </x:c>
      <x:c r="B217" s="17" t="str">
        <x:v>Ming Sheng</x:v>
      </x:c>
      <x:c r="C217" s="17" t="str"/>
      <x:c r="D217" s="17" t="n">
        <x:v>0</x:v>
      </x:c>
      <x:c r="E217" s="17" t="n">
        <x:v>0</x:v>
      </x:c>
      <x:c r="F217" s="17" t="n">
        <x:v>1</x:v>
      </x:c>
      <x:c r="G217" s="17" t="n">
        <x:v>1</x:v>
      </x:c>
      <x:c r="H217" s="16" t="str"/>
      <x:c r="I217" s="16" t="str"/>
      <x:c r="J217" s="16" t="str">
        <x:v>2008-10-03—2008-10-18｜第1届世界智力运动会 / 世界桥牌运动会｜U28 Teams 青年团体｜CHINA</x:v>
      </x:c>
    </x:row>
    <x:row r="218">
      <x:c r="A218" s="36" t="n">
        <x:v>191</x:v>
      </x:c>
      <x:c r="B218" s="36" t="str">
        <x:v>Ping Wang</x:v>
      </x:c>
      <x:c r="C218" s="36" t="str"/>
      <x:c r="D218" s="36" t="n">
        <x:v>0</x:v>
      </x:c>
      <x:c r="E218" s="36" t="n">
        <x:v>0</x:v>
      </x:c>
      <x:c r="F218" s="36" t="n">
        <x:v>1</x:v>
      </x:c>
      <x:c r="G218" s="36" t="n">
        <x:v>1</x:v>
      </x:c>
      <x:c r="H218" s="35" t="str"/>
      <x:c r="I218" s="35" t="str"/>
      <x:c r="J218" s="35" t="str">
        <x:v>2015｜世界桥牌团体锦标赛｜Transnational Open Teams 跨国公开团体｜TRANSNATIONAL TEAM</x:v>
      </x:c>
    </x:row>
    <x:row r="219">
      <x:c r="A219" s="17" t="n">
        <x:v>191</x:v>
      </x:c>
      <x:c r="B219" s="17" t="str">
        <x:v>Qi Song</x:v>
      </x:c>
      <x:c r="C219" s="17" t="str"/>
      <x:c r="D219" s="17" t="n">
        <x:v>0</x:v>
      </x:c>
      <x:c r="E219" s="17" t="n">
        <x:v>0</x:v>
      </x:c>
      <x:c r="F219" s="17" t="n">
        <x:v>1</x:v>
      </x:c>
      <x:c r="G219" s="17" t="n">
        <x:v>1</x:v>
      </x:c>
      <x:c r="H219" s="16" t="str"/>
      <x:c r="I219" s="16" t="str"/>
      <x:c r="J219" s="16" t="str">
        <x:v>2008-10-03—2008-10-18｜第1届世界智力运动会 / 世界桥牌运动会｜U21 Teams 青年团体｜CHINA</x:v>
      </x:c>
    </x:row>
    <x:row r="220">
      <x:c r="A220" s="36" t="n">
        <x:v>191</x:v>
      </x:c>
      <x:c r="B220" s="36" t="str">
        <x:v>Qi Xia</x:v>
      </x:c>
      <x:c r="C220" s="36" t="str"/>
      <x:c r="D220" s="36" t="n">
        <x:v>0</x:v>
      </x:c>
      <x:c r="E220" s="36" t="n">
        <x:v>0</x:v>
      </x:c>
      <x:c r="F220" s="36" t="n">
        <x:v>1</x:v>
      </x:c>
      <x:c r="G220" s="36" t="n">
        <x:v>1</x:v>
      </x:c>
      <x:c r="H220" s="35" t="str"/>
      <x:c r="I220" s="35" t="str"/>
      <x:c r="J220" s="35" t="str">
        <x:v>2015-08-20—2015-08-29｜第4届世界青年公开锦标赛｜U26 Women Teams / Girls Teams｜CHINA RDFZ GIRLS</x:v>
      </x:c>
    </x:row>
    <x:row r="221">
      <x:c r="A221" s="17" t="n">
        <x:v>191</x:v>
      </x:c>
      <x:c r="B221" s="17" t="str">
        <x:v>Qinghong Zhou</x:v>
      </x:c>
      <x:c r="C221" s="17" t="str"/>
      <x:c r="D221" s="17" t="n">
        <x:v>0</x:v>
      </x:c>
      <x:c r="E221" s="17" t="n">
        <x:v>0</x:v>
      </x:c>
      <x:c r="F221" s="17" t="n">
        <x:v>1</x:v>
      </x:c>
      <x:c r="G221" s="17" t="n">
        <x:v>1</x:v>
      </x:c>
      <x:c r="H221" s="16" t="str"/>
      <x:c r="I221" s="16" t="str"/>
      <x:c r="J221" s="16" t="str">
        <x:v>2004｜世界桥牌奥林匹克赛｜Transnational Mixed Teams 跨国混合团体｜CHINA</x:v>
      </x:c>
    </x:row>
    <x:row r="222">
      <x:c r="A222" s="36" t="n">
        <x:v>191</x:v>
      </x:c>
      <x:c r="B222" s="36" t="str">
        <x:v>Ruo Fei Ma</x:v>
      </x:c>
      <x:c r="C222" s="36" t="str"/>
      <x:c r="D222" s="36" t="n">
        <x:v>0</x:v>
      </x:c>
      <x:c r="E222" s="36" t="n">
        <x:v>0</x:v>
      </x:c>
      <x:c r="F222" s="36" t="n">
        <x:v>1</x:v>
      </x:c>
      <x:c r="G222" s="36" t="n">
        <x:v>1</x:v>
      </x:c>
      <x:c r="H222" s="35" t="str"/>
      <x:c r="I222" s="35" t="str"/>
      <x:c r="J222" s="35" t="str">
        <x:v>2026-08-03—2026-08-08｜第9届世界青年跨国锦标赛｜U26 Women Teams｜SHANDONG YANTAI</x:v>
      </x:c>
    </x:row>
    <x:row r="223">
      <x:c r="A223" s="17" t="n">
        <x:v>191</x:v>
      </x:c>
      <x:c r="B223" s="17" t="str">
        <x:v>Ruohan Liu</x:v>
      </x:c>
      <x:c r="C223" s="17" t="str"/>
      <x:c r="D223" s="17" t="n">
        <x:v>0</x:v>
      </x:c>
      <x:c r="E223" s="17" t="n">
        <x:v>0</x:v>
      </x:c>
      <x:c r="F223" s="17" t="n">
        <x:v>1</x:v>
      </x:c>
      <x:c r="G223" s="17" t="n">
        <x:v>1</x:v>
      </x:c>
      <x:c r="H223" s="16" t="str"/>
      <x:c r="I223" s="16" t="str"/>
      <x:c r="J223" s="16" t="str">
        <x:v>2026-08-03—2026-08-08｜第9届世界青年跨国锦标赛｜U26 Women Teams｜SHANDONG YANTAI</x:v>
      </x:c>
    </x:row>
    <x:row r="224">
      <x:c r="A224" s="36" t="n">
        <x:v>191</x:v>
      </x:c>
      <x:c r="B224" s="36" t="str">
        <x:v>Shiyi Li</x:v>
      </x:c>
      <x:c r="C224" s="36" t="str"/>
      <x:c r="D224" s="36" t="n">
        <x:v>0</x:v>
      </x:c>
      <x:c r="E224" s="36" t="n">
        <x:v>0</x:v>
      </x:c>
      <x:c r="F224" s="36" t="n">
        <x:v>1</x:v>
      </x:c>
      <x:c r="G224" s="36" t="n">
        <x:v>1</x:v>
      </x:c>
      <x:c r="H224" s="35" t="str"/>
      <x:c r="I224" s="35" t="str"/>
      <x:c r="J224" s="35" t="str">
        <x:v>2017-08-15—2017-08-24｜第5届世界青年公开锦标赛｜U26 Women Teams / Girls Teams｜SH XIN JIANGNAN TEAM</x:v>
      </x:c>
    </x:row>
    <x:row r="225">
      <x:c r="A225" s="17" t="n">
        <x:v>191</x:v>
      </x:c>
      <x:c r="B225" s="17" t="str">
        <x:v>Shiyun Mao</x:v>
      </x:c>
      <x:c r="C225" s="17" t="str"/>
      <x:c r="D225" s="17" t="n">
        <x:v>0</x:v>
      </x:c>
      <x:c r="E225" s="17" t="n">
        <x:v>0</x:v>
      </x:c>
      <x:c r="F225" s="17" t="n">
        <x:v>1</x:v>
      </x:c>
      <x:c r="G225" s="17" t="n">
        <x:v>1</x:v>
      </x:c>
      <x:c r="H225" s="16" t="str"/>
      <x:c r="I225" s="16" t="str"/>
      <x:c r="J225" s="16" t="str">
        <x:v>2017-08-15—2017-08-24｜第5届世界青年公开锦标赛｜U26 Women Teams / Girls Teams｜SH XIN JIANGNAN TEAM</x:v>
      </x:c>
    </x:row>
    <x:row r="226">
      <x:c r="A226" s="36" t="n">
        <x:v>191</x:v>
      </x:c>
      <x:c r="B226" s="36" t="str">
        <x:v>Sifan Jiang</x:v>
      </x:c>
      <x:c r="C226" s="36" t="str"/>
      <x:c r="D226" s="36" t="n">
        <x:v>0</x:v>
      </x:c>
      <x:c r="E226" s="36" t="n">
        <x:v>0</x:v>
      </x:c>
      <x:c r="F226" s="36" t="n">
        <x:v>1</x:v>
      </x:c>
      <x:c r="G226" s="36" t="n">
        <x:v>1</x:v>
      </x:c>
      <x:c r="H226" s="35" t="str"/>
      <x:c r="I226" s="35" t="str"/>
      <x:c r="J226" s="35" t="str">
        <x:v>2025-07-12—2025-07-17｜第19届世界青年团体锦标赛｜U26 Women Teams｜CHINA</x:v>
      </x:c>
    </x:row>
    <x:row r="227">
      <x:c r="A227" s="17" t="n">
        <x:v>191</x:v>
      </x:c>
      <x:c r="B227" s="17" t="str">
        <x:v>Simin Chen</x:v>
      </x:c>
      <x:c r="C227" s="17" t="str"/>
      <x:c r="D227" s="17" t="n">
        <x:v>0</x:v>
      </x:c>
      <x:c r="E227" s="17" t="n">
        <x:v>0</x:v>
      </x:c>
      <x:c r="F227" s="17" t="n">
        <x:v>1</x:v>
      </x:c>
      <x:c r="G227" s="17" t="n">
        <x:v>1</x:v>
      </x:c>
      <x:c r="H227" s="16" t="str"/>
      <x:c r="I227" s="16" t="str"/>
      <x:c r="J227" s="16" t="str">
        <x:v>2008-10-03—2008-10-18｜第1届世界智力运动会 / 世界桥牌运动会｜U21 Teams 青年团体｜CHINA</x:v>
      </x:c>
    </x:row>
    <x:row r="228">
      <x:c r="A228" s="36" t="n">
        <x:v>191</x:v>
      </x:c>
      <x:c r="B228" s="36" t="str">
        <x:v>Suhang Li</x:v>
      </x:c>
      <x:c r="C228" s="36" t="str"/>
      <x:c r="D228" s="36" t="n">
        <x:v>0</x:v>
      </x:c>
      <x:c r="E228" s="36" t="n">
        <x:v>0</x:v>
      </x:c>
      <x:c r="F228" s="36" t="n">
        <x:v>1</x:v>
      </x:c>
      <x:c r="G228" s="36" t="n">
        <x:v>1</x:v>
      </x:c>
      <x:c r="H228" s="35" t="str"/>
      <x:c r="I228" s="35" t="str"/>
      <x:c r="J228" s="35" t="str">
        <x:v>2019-08-20—2019-08-29｜第6届世界青年公开锦标赛｜U16 Teams｜SXSATURN</x:v>
      </x:c>
    </x:row>
    <x:row r="229">
      <x:c r="A229" s="17" t="n">
        <x:v>191</x:v>
      </x:c>
      <x:c r="B229" s="17" t="str">
        <x:v>Tengbo Tang</x:v>
      </x:c>
      <x:c r="C229" s="17" t="str"/>
      <x:c r="D229" s="17" t="n">
        <x:v>0</x:v>
      </x:c>
      <x:c r="E229" s="17" t="n">
        <x:v>0</x:v>
      </x:c>
      <x:c r="F229" s="17" t="n">
        <x:v>1</x:v>
      </x:c>
      <x:c r="G229" s="17" t="n">
        <x:v>1</x:v>
      </x:c>
      <x:c r="H229" s="16" t="str"/>
      <x:c r="I229" s="16" t="str"/>
      <x:c r="J229" s="16" t="str">
        <x:v>2019-08-20—2019-08-29｜第6届世界青年公开锦标赛｜U16 Teams｜SXSATURN</x:v>
      </x:c>
    </x:row>
    <x:row r="230">
      <x:c r="A230" s="36" t="n">
        <x:v>191</x:v>
      </x:c>
      <x:c r="B230" s="36" t="str">
        <x:v>Tianxin Chi</x:v>
      </x:c>
      <x:c r="C230" s="36" t="str"/>
      <x:c r="D230" s="36" t="n">
        <x:v>0</x:v>
      </x:c>
      <x:c r="E230" s="36" t="n">
        <x:v>0</x:v>
      </x:c>
      <x:c r="F230" s="36" t="n">
        <x:v>1</x:v>
      </x:c>
      <x:c r="G230" s="36" t="n">
        <x:v>1</x:v>
      </x:c>
      <x:c r="H230" s="35" t="str"/>
      <x:c r="I230" s="35" t="str"/>
      <x:c r="J230" s="35" t="str">
        <x:v>2026-08-03—2026-08-08｜第9届世界青年跨国锦标赛｜U26 Women Teams｜SHANDONG YANTAI</x:v>
      </x:c>
    </x:row>
    <x:row r="231">
      <x:c r="A231" s="17" t="n">
        <x:v>191</x:v>
      </x:c>
      <x:c r="B231" s="17" t="str">
        <x:v>Wei Meng</x:v>
      </x:c>
      <x:c r="C231" s="17" t="str"/>
      <x:c r="D231" s="17" t="n">
        <x:v>0</x:v>
      </x:c>
      <x:c r="E231" s="17" t="n">
        <x:v>0</x:v>
      </x:c>
      <x:c r="F231" s="17" t="n">
        <x:v>1</x:v>
      </x:c>
      <x:c r="G231" s="17" t="n">
        <x:v>1</x:v>
      </x:c>
      <x:c r="H231" s="16" t="str"/>
      <x:c r="I231" s="16" t="str"/>
      <x:c r="J231" s="16" t="str">
        <x:v>2010-10｜世界青年团体锦标赛｜U26 Women Teams｜CHINA</x:v>
      </x:c>
    </x:row>
    <x:row r="232">
      <x:c r="A232" s="36" t="n">
        <x:v>191</x:v>
      </x:c>
      <x:c r="B232" s="36" t="str">
        <x:v>Wenjie Xue</x:v>
      </x:c>
      <x:c r="C232" s="36" t="str"/>
      <x:c r="D232" s="36" t="n">
        <x:v>0</x:v>
      </x:c>
      <x:c r="E232" s="36" t="n">
        <x:v>0</x:v>
      </x:c>
      <x:c r="F232" s="36" t="n">
        <x:v>1</x:v>
      </x:c>
      <x:c r="G232" s="36" t="n">
        <x:v>1</x:v>
      </x:c>
      <x:c r="H232" s="35" t="str"/>
      <x:c r="I232" s="35" t="str"/>
      <x:c r="J232" s="35" t="str">
        <x:v>2015-08-20—2015-08-29｜第4届世界青年公开锦标赛｜U16 Teams / Kids Teams｜SX XNWY</x:v>
      </x:c>
    </x:row>
    <x:row r="233">
      <x:c r="A233" s="17" t="n">
        <x:v>191</x:v>
      </x:c>
      <x:c r="B233" s="17" t="str">
        <x:v>Xiaotong Wu</x:v>
      </x:c>
      <x:c r="C233" s="17" t="str"/>
      <x:c r="D233" s="17" t="n">
        <x:v>0</x:v>
      </x:c>
      <x:c r="E233" s="17" t="n">
        <x:v>0</x:v>
      </x:c>
      <x:c r="F233" s="17" t="n">
        <x:v>1</x:v>
      </x:c>
      <x:c r="G233" s="17" t="n">
        <x:v>1</x:v>
      </x:c>
      <x:c r="H233" s="16" t="str"/>
      <x:c r="I233" s="16" t="str"/>
      <x:c r="J233" s="16" t="str">
        <x:v>2017-08-15—2017-08-24｜第5届世界青年公开锦标赛｜U26 Women Teams / Girls Teams｜SH XIN JIANGNAN TEAM</x:v>
      </x:c>
    </x:row>
    <x:row r="234">
      <x:c r="A234" s="36" t="n">
        <x:v>191</x:v>
      </x:c>
      <x:c r="B234" s="36" t="str">
        <x:v>Xihan Zhang</x:v>
      </x:c>
      <x:c r="C234" s="36" t="str"/>
      <x:c r="D234" s="36" t="n">
        <x:v>0</x:v>
      </x:c>
      <x:c r="E234" s="36" t="n">
        <x:v>0</x:v>
      </x:c>
      <x:c r="F234" s="36" t="n">
        <x:v>1</x:v>
      </x:c>
      <x:c r="G234" s="36" t="n">
        <x:v>1</x:v>
      </x:c>
      <x:c r="H234" s="35" t="str"/>
      <x:c r="I234" s="35" t="str"/>
      <x:c r="J234" s="35" t="str">
        <x:v>2026-08-03—2026-08-08｜第9届世界青年跨国锦标赛｜U26 Women Teams｜SHANDONG YANTAI</x:v>
      </x:c>
    </x:row>
    <x:row r="235">
      <x:c r="A235" s="17" t="n">
        <x:v>191</x:v>
      </x:c>
      <x:c r="B235" s="17" t="str">
        <x:v>Xin Li</x:v>
      </x:c>
      <x:c r="C235" s="17" t="str"/>
      <x:c r="D235" s="17" t="n">
        <x:v>0</x:v>
      </x:c>
      <x:c r="E235" s="17" t="n">
        <x:v>0</x:v>
      </x:c>
      <x:c r="F235" s="17" t="n">
        <x:v>1</x:v>
      </x:c>
      <x:c r="G235" s="17" t="n">
        <x:v>1</x:v>
      </x:c>
      <x:c r="H235" s="16" t="str"/>
      <x:c r="I235" s="16" t="str"/>
      <x:c r="J235" s="16" t="str">
        <x:v>2008-10-03—2008-10-18｜第1届世界智力运动会 / 世界桥牌运动会｜U28 Teams 青年团体｜CHINA</x:v>
      </x:c>
    </x:row>
    <x:row r="236">
      <x:c r="A236" s="36" t="n">
        <x:v>191</x:v>
      </x:c>
      <x:c r="B236" s="36" t="str">
        <x:v>Xing Li</x:v>
      </x:c>
      <x:c r="C236" s="36" t="str"/>
      <x:c r="D236" s="36" t="n">
        <x:v>0</x:v>
      </x:c>
      <x:c r="E236" s="36" t="n">
        <x:v>0</x:v>
      </x:c>
      <x:c r="F236" s="36" t="n">
        <x:v>1</x:v>
      </x:c>
      <x:c r="G236" s="36" t="n">
        <x:v>1</x:v>
      </x:c>
      <x:c r="H236" s="35" t="str"/>
      <x:c r="I236" s="35" t="str"/>
      <x:c r="J236" s="35" t="str">
        <x:v>2010-10｜世界青年团体锦标赛｜U26 Women Teams｜CHINA</x:v>
      </x:c>
    </x:row>
    <x:row r="237">
      <x:c r="A237" s="17" t="n">
        <x:v>191</x:v>
      </x:c>
      <x:c r="B237" s="17" t="str">
        <x:v>Xingxing Shan</x:v>
      </x:c>
      <x:c r="C237" s="17" t="str"/>
      <x:c r="D237" s="17" t="n">
        <x:v>0</x:v>
      </x:c>
      <x:c r="E237" s="17" t="n">
        <x:v>0</x:v>
      </x:c>
      <x:c r="F237" s="17" t="n">
        <x:v>1</x:v>
      </x:c>
      <x:c r="G237" s="17" t="n">
        <x:v>1</x:v>
      </x:c>
      <x:c r="H237" s="16" t="str"/>
      <x:c r="I237" s="16" t="str"/>
      <x:c r="J237" s="16" t="str">
        <x:v>2010-10｜世界青年团体锦标赛｜U26 Women Teams｜CHINA</x:v>
      </x:c>
    </x:row>
    <x:row r="238">
      <x:c r="A238" s="36" t="n">
        <x:v>191</x:v>
      </x:c>
      <x:c r="B238" s="36" t="str">
        <x:v>Xinyi Luo</x:v>
      </x:c>
      <x:c r="C238" s="36" t="str"/>
      <x:c r="D238" s="36" t="n">
        <x:v>0</x:v>
      </x:c>
      <x:c r="E238" s="36" t="n">
        <x:v>0</x:v>
      </x:c>
      <x:c r="F238" s="36" t="n">
        <x:v>1</x:v>
      </x:c>
      <x:c r="G238" s="36" t="n">
        <x:v>1</x:v>
      </x:c>
      <x:c r="H238" s="35" t="str"/>
      <x:c r="I238" s="35" t="str"/>
      <x:c r="J238" s="35" t="str">
        <x:v>2015-08-20—2015-08-29｜第4届世界青年公开锦标赛｜U26 Women Teams / Girls Teams｜CHINA RDFZ GIRLS</x:v>
      </x:c>
    </x:row>
    <x:row r="239">
      <x:c r="A239" s="17" t="n">
        <x:v>191</x:v>
      </x:c>
      <x:c r="B239" s="17" t="str">
        <x:v>Xiufen Chang</x:v>
      </x:c>
      <x:c r="C239" s="17" t="str"/>
      <x:c r="D239" s="17" t="n">
        <x:v>0</x:v>
      </x:c>
      <x:c r="E239" s="17" t="n">
        <x:v>0</x:v>
      </x:c>
      <x:c r="F239" s="17" t="n">
        <x:v>1</x:v>
      </x:c>
      <x:c r="G239" s="17" t="n">
        <x:v>1</x:v>
      </x:c>
      <x:c r="H239" s="16" t="str"/>
      <x:c r="I239" s="16" t="str"/>
      <x:c r="J239" s="16" t="str">
        <x:v>2010-10｜世界青年团体锦标赛｜U26 Women Teams｜CHINA</x:v>
      </x:c>
    </x:row>
    <x:row r="240">
      <x:c r="A240" s="36" t="n">
        <x:v>191</x:v>
      </x:c>
      <x:c r="B240" s="36" t="str">
        <x:v>Xiuting Yu</x:v>
      </x:c>
      <x:c r="C240" s="36" t="str"/>
      <x:c r="D240" s="36" t="n">
        <x:v>0</x:v>
      </x:c>
      <x:c r="E240" s="36" t="n">
        <x:v>0</x:v>
      </x:c>
      <x:c r="F240" s="36" t="n">
        <x:v>1</x:v>
      </x:c>
      <x:c r="G240" s="36" t="n">
        <x:v>1</x:v>
      </x:c>
      <x:c r="H240" s="35" t="str"/>
      <x:c r="I240" s="35" t="str"/>
      <x:c r="J240" s="35" t="str">
        <x:v>2023-08｜世界桥牌团体锦标赛｜Venice Cup 女子团体｜CHINA</x:v>
      </x:c>
    </x:row>
    <x:row r="241">
      <x:c r="A241" s="17" t="n">
        <x:v>191</x:v>
      </x:c>
      <x:c r="B241" s="17" t="str">
        <x:v>Xu Hou</x:v>
      </x:c>
      <x:c r="C241" s="17" t="str"/>
      <x:c r="D241" s="17" t="n">
        <x:v>0</x:v>
      </x:c>
      <x:c r="E241" s="17" t="n">
        <x:v>0</x:v>
      </x:c>
      <x:c r="F241" s="17" t="n">
        <x:v>1</x:v>
      </x:c>
      <x:c r="G241" s="17" t="n">
        <x:v>1</x:v>
      </x:c>
      <x:c r="H241" s="16" t="str"/>
      <x:c r="I241" s="16" t="str"/>
      <x:c r="J241" s="16" t="str">
        <x:v>2008-10-03—2008-10-18｜第1届世界智力运动会 / 世界桥牌运动会｜Transnational Mixed Teams 跨国混合团体｜A-EVERTRUST HOLDING GROUP</x:v>
      </x:c>
    </x:row>
    <x:row r="242">
      <x:c r="A242" s="36" t="n">
        <x:v>191</x:v>
      </x:c>
      <x:c r="B242" s="36" t="str">
        <x:v>Xuyang Zhang</x:v>
      </x:c>
      <x:c r="C242" s="36" t="str"/>
      <x:c r="D242" s="36" t="n">
        <x:v>0</x:v>
      </x:c>
      <x:c r="E242" s="36" t="n">
        <x:v>0</x:v>
      </x:c>
      <x:c r="F242" s="36" t="n">
        <x:v>1</x:v>
      </x:c>
      <x:c r="G242" s="36" t="n">
        <x:v>1</x:v>
      </x:c>
      <x:c r="H242" s="35" t="str"/>
      <x:c r="I242" s="35" t="str"/>
      <x:c r="J242" s="35" t="str">
        <x:v>2019-08-20—2019-08-29｜第6届世界青年公开锦标赛｜U16 Teams｜SXSATURN</x:v>
      </x:c>
    </x:row>
    <x:row r="243">
      <x:c r="A243" s="17" t="n">
        <x:v>191</x:v>
      </x:c>
      <x:c r="B243" s="17" t="str">
        <x:v>Yanjiao Liu</x:v>
      </x:c>
      <x:c r="C243" s="17" t="str"/>
      <x:c r="D243" s="17" t="n">
        <x:v>0</x:v>
      </x:c>
      <x:c r="E243" s="17" t="n">
        <x:v>0</x:v>
      </x:c>
      <x:c r="F243" s="17" t="n">
        <x:v>1</x:v>
      </x:c>
      <x:c r="G243" s="17" t="n">
        <x:v>1</x:v>
      </x:c>
      <x:c r="H243" s="16" t="str"/>
      <x:c r="I243" s="16" t="str"/>
      <x:c r="J243" s="16" t="str">
        <x:v>2010-10｜世界青年团体锦标赛｜U26 Women Teams｜CHINA</x:v>
      </x:c>
    </x:row>
    <x:row r="244">
      <x:c r="A244" s="36" t="n">
        <x:v>191</x:v>
      </x:c>
      <x:c r="B244" s="36" t="str">
        <x:v>Yanting Mao</x:v>
      </x:c>
      <x:c r="C244" s="36" t="str"/>
      <x:c r="D244" s="36" t="n">
        <x:v>0</x:v>
      </x:c>
      <x:c r="E244" s="36" t="n">
        <x:v>0</x:v>
      </x:c>
      <x:c r="F244" s="36" t="n">
        <x:v>1</x:v>
      </x:c>
      <x:c r="G244" s="36" t="n">
        <x:v>1</x:v>
      </x:c>
      <x:c r="H244" s="35" t="str"/>
      <x:c r="I244" s="35" t="str"/>
      <x:c r="J244" s="35" t="str">
        <x:v>2017-08-15—2017-08-24｜第5届世界青年公开锦标赛｜U26 Women Teams / Girls Teams｜SH XIN JIANGNAN TEAM</x:v>
      </x:c>
    </x:row>
    <x:row r="245">
      <x:c r="A245" s="17" t="n">
        <x:v>191</x:v>
      </x:c>
      <x:c r="B245" s="17" t="str">
        <x:v>Yici Wang</x:v>
      </x:c>
      <x:c r="C245" s="17" t="str"/>
      <x:c r="D245" s="17" t="n">
        <x:v>0</x:v>
      </x:c>
      <x:c r="E245" s="17" t="n">
        <x:v>0</x:v>
      </x:c>
      <x:c r="F245" s="17" t="n">
        <x:v>1</x:v>
      </x:c>
      <x:c r="G245" s="17" t="n">
        <x:v>1</x:v>
      </x:c>
      <x:c r="H245" s="16" t="str"/>
      <x:c r="I245" s="16" t="str"/>
      <x:c r="J245" s="16" t="str">
        <x:v>2017-08-15—2017-08-24｜第5届世界青年公开锦标赛｜U26 Women Teams / Girls Teams｜SH XIN JIANGNAN TEAM</x:v>
      </x:c>
    </x:row>
    <x:row r="246">
      <x:c r="A246" s="36" t="n">
        <x:v>191</x:v>
      </x:c>
      <x:c r="B246" s="36" t="str">
        <x:v>Yijun Wu</x:v>
      </x:c>
      <x:c r="C246" s="36" t="str"/>
      <x:c r="D246" s="36" t="n">
        <x:v>0</x:v>
      </x:c>
      <x:c r="E246" s="36" t="n">
        <x:v>0</x:v>
      </x:c>
      <x:c r="F246" s="36" t="n">
        <x:v>1</x:v>
      </x:c>
      <x:c r="G246" s="36" t="n">
        <x:v>1</x:v>
      </x:c>
      <x:c r="H246" s="35" t="str"/>
      <x:c r="I246" s="35" t="str"/>
      <x:c r="J246" s="35" t="str">
        <x:v>2019-08-20—2019-08-29｜第6届世界青年公开锦标赛｜U16 Teams｜SXSATURN</x:v>
      </x:c>
    </x:row>
    <x:row r="247">
      <x:c r="A247" s="17" t="n">
        <x:v>191</x:v>
      </x:c>
      <x:c r="B247" s="17" t="str">
        <x:v>Yiling Shen</x:v>
      </x:c>
      <x:c r="C247" s="17" t="str"/>
      <x:c r="D247" s="17" t="n">
        <x:v>0</x:v>
      </x:c>
      <x:c r="E247" s="17" t="n">
        <x:v>0</x:v>
      </x:c>
      <x:c r="F247" s="17" t="n">
        <x:v>1</x:v>
      </x:c>
      <x:c r="G247" s="17" t="n">
        <x:v>1</x:v>
      </x:c>
      <x:c r="H247" s="16" t="str"/>
      <x:c r="I247" s="16" t="str"/>
      <x:c r="J247" s="16" t="str">
        <x:v>2013｜第3届世界青年公开锦标赛｜U21 Teams / Youngsters Teams｜CHINA XNWY</x:v>
      </x:c>
    </x:row>
    <x:row r="248">
      <x:c r="A248" s="36" t="n">
        <x:v>191</x:v>
      </x:c>
      <x:c r="B248" s="36" t="str">
        <x:v>Yixuan Jiang</x:v>
      </x:c>
      <x:c r="C248" s="36" t="str"/>
      <x:c r="D248" s="36" t="n">
        <x:v>0</x:v>
      </x:c>
      <x:c r="E248" s="36" t="n">
        <x:v>0</x:v>
      </x:c>
      <x:c r="F248" s="36" t="n">
        <x:v>1</x:v>
      </x:c>
      <x:c r="G248" s="36" t="n">
        <x:v>1</x:v>
      </x:c>
      <x:c r="H248" s="35" t="str"/>
      <x:c r="I248" s="35" t="str"/>
      <x:c r="J248" s="35" t="str">
        <x:v>2025-07-12—2025-07-17｜第19届世界青年团体锦标赛｜U26 Women Teams｜CHINA</x:v>
      </x:c>
    </x:row>
    <x:row r="249">
      <x:c r="A249" s="17" t="n">
        <x:v>191</x:v>
      </x:c>
      <x:c r="B249" s="17" t="str">
        <x:v>Yixuan Liu</x:v>
      </x:c>
      <x:c r="C249" s="17" t="str"/>
      <x:c r="D249" s="17" t="n">
        <x:v>0</x:v>
      </x:c>
      <x:c r="E249" s="17" t="n">
        <x:v>0</x:v>
      </x:c>
      <x:c r="F249" s="17" t="n">
        <x:v>1</x:v>
      </x:c>
      <x:c r="G249" s="17" t="n">
        <x:v>1</x:v>
      </x:c>
      <x:c r="H249" s="16" t="str"/>
      <x:c r="I249" s="16" t="str"/>
      <x:c r="J249" s="16" t="str">
        <x:v>2026-08-03—2026-08-08｜第9届世界青年跨国锦标赛｜U26 Women Teams｜SHANDONG YANTAI</x:v>
      </x:c>
    </x:row>
    <x:row r="250">
      <x:c r="A250" s="36" t="n">
        <x:v>191</x:v>
      </x:c>
      <x:c r="B250" s="36" t="str">
        <x:v>Yizhuo Zhang</x:v>
      </x:c>
      <x:c r="C250" s="36" t="str"/>
      <x:c r="D250" s="36" t="n">
        <x:v>0</x:v>
      </x:c>
      <x:c r="E250" s="36" t="n">
        <x:v>0</x:v>
      </x:c>
      <x:c r="F250" s="36" t="n">
        <x:v>1</x:v>
      </x:c>
      <x:c r="G250" s="36" t="n">
        <x:v>1</x:v>
      </x:c>
      <x:c r="H250" s="35" t="str"/>
      <x:c r="I250" s="35" t="str"/>
      <x:c r="J250" s="35" t="str">
        <x:v>2008-10-03—2008-10-18｜第1届世界智力运动会 / 世界桥牌运动会｜U28 Teams 青年团体｜CHINA</x:v>
      </x:c>
    </x:row>
    <x:row r="251">
      <x:c r="A251" s="17" t="n">
        <x:v>191</x:v>
      </x:c>
      <x:c r="B251" s="17" t="str">
        <x:v>Yong Mei Zhou</x:v>
      </x:c>
      <x:c r="C251" s="17" t="str"/>
      <x:c r="D251" s="17" t="n">
        <x:v>0</x:v>
      </x:c>
      <x:c r="E251" s="17" t="n">
        <x:v>0</x:v>
      </x:c>
      <x:c r="F251" s="17" t="n">
        <x:v>1</x:v>
      </x:c>
      <x:c r="G251" s="17" t="n">
        <x:v>1</x:v>
      </x:c>
      <x:c r="H251" s="16" t="str"/>
      <x:c r="I251" s="16" t="str"/>
      <x:c r="J251" s="16" t="str">
        <x:v>2014-10｜世界桥牌综合锦标赛｜Mixed Teams 混合团体｜CHINA</x:v>
      </x:c>
    </x:row>
    <x:row r="252">
      <x:c r="A252" s="36" t="n">
        <x:v>191</x:v>
      </x:c>
      <x:c r="B252" s="36" t="str">
        <x:v>Yuchen Ye</x:v>
      </x:c>
      <x:c r="C252" s="36" t="str"/>
      <x:c r="D252" s="36" t="n">
        <x:v>0</x:v>
      </x:c>
      <x:c r="E252" s="36" t="n">
        <x:v>0</x:v>
      </x:c>
      <x:c r="F252" s="36" t="n">
        <x:v>1</x:v>
      </x:c>
      <x:c r="G252" s="36" t="n">
        <x:v>1</x:v>
      </x:c>
      <x:c r="H252" s="35" t="str"/>
      <x:c r="I252" s="35" t="str"/>
      <x:c r="J252" s="35" t="str">
        <x:v>2026-08-03—2026-08-08｜第9届世界青年跨国锦标赛｜U16 Teams｜SHANGHAI NTBC TANK</x:v>
      </x:c>
    </x:row>
    <x:row r="253">
      <x:c r="A253" s="17" t="n">
        <x:v>191</x:v>
      </x:c>
      <x:c r="B253" s="17" t="str">
        <x:v>Yueling Gu</x:v>
      </x:c>
      <x:c r="C253" s="17" t="str"/>
      <x:c r="D253" s="17" t="n">
        <x:v>0</x:v>
      </x:c>
      <x:c r="E253" s="17" t="n">
        <x:v>0</x:v>
      </x:c>
      <x:c r="F253" s="17" t="n">
        <x:v>1</x:v>
      </x:c>
      <x:c r="G253" s="17" t="n">
        <x:v>1</x:v>
      </x:c>
      <x:c r="H253" s="16" t="str"/>
      <x:c r="I253" s="16" t="str"/>
      <x:c r="J253" s="16" t="str">
        <x:v>2017-08-15—2017-08-24｜第5届世界青年公开锦标赛｜U26 Women Teams / Girls Teams｜SH XIN JIANGNAN TEAM</x:v>
      </x:c>
    </x:row>
    <x:row r="254">
      <x:c r="A254" s="36" t="n">
        <x:v>191</x:v>
      </x:c>
      <x:c r="B254" s="36" t="str">
        <x:v>Yuran Zhang</x:v>
      </x:c>
      <x:c r="C254" s="36" t="str"/>
      <x:c r="D254" s="36" t="n">
        <x:v>0</x:v>
      </x:c>
      <x:c r="E254" s="36" t="n">
        <x:v>0</x:v>
      </x:c>
      <x:c r="F254" s="36" t="n">
        <x:v>1</x:v>
      </x:c>
      <x:c r="G254" s="36" t="n">
        <x:v>1</x:v>
      </x:c>
      <x:c r="H254" s="35" t="str"/>
      <x:c r="I254" s="35" t="str"/>
      <x:c r="J254" s="35" t="str">
        <x:v>2026-08-03—2026-08-08｜第9届世界青年跨国锦标赛｜U16 Teams｜SHANGHAI NTBC TANK</x:v>
      </x:c>
    </x:row>
    <x:row r="255">
      <x:c r="A255" s="17" t="n">
        <x:v>191</x:v>
      </x:c>
      <x:c r="B255" s="17" t="str">
        <x:v>Zhe Wu</x:v>
      </x:c>
      <x:c r="C255" s="17" t="str"/>
      <x:c r="D255" s="17" t="n">
        <x:v>0</x:v>
      </x:c>
      <x:c r="E255" s="17" t="n">
        <x:v>0</x:v>
      </x:c>
      <x:c r="F255" s="17" t="n">
        <x:v>1</x:v>
      </x:c>
      <x:c r="G255" s="17" t="n">
        <x:v>1</x:v>
      </x:c>
      <x:c r="H255" s="16" t="str"/>
      <x:c r="I255" s="16" t="str"/>
      <x:c r="J255" s="16" t="str">
        <x:v>2015-08-20—2015-08-29｜第4届世界青年公开锦标赛｜U16 Pairs / Kids Pairs｜Zhe Wu – Zhijie Yuan</x:v>
      </x:c>
    </x:row>
    <x:row r="256">
      <x:c r="A256" s="36" t="n">
        <x:v>191</x:v>
      </x:c>
      <x:c r="B256" s="36" t="str">
        <x:v>Zhenguo Wu</x:v>
      </x:c>
      <x:c r="C256" s="36" t="str"/>
      <x:c r="D256" s="36" t="n">
        <x:v>0</x:v>
      </x:c>
      <x:c r="E256" s="36" t="n">
        <x:v>0</x:v>
      </x:c>
      <x:c r="F256" s="36" t="n">
        <x:v>1</x:v>
      </x:c>
      <x:c r="G256" s="36" t="n">
        <x:v>1</x:v>
      </x:c>
      <x:c r="H256" s="35" t="str"/>
      <x:c r="I256" s="35" t="str"/>
      <x:c r="J256" s="35" t="str">
        <x:v>2008-10-03—2008-10-18｜第1届世界智力运动会 / 世界桥牌运动会｜U28 Teams 青年团体｜CHINA</x:v>
      </x:c>
    </x:row>
    <x:row r="257">
      <x:c r="A257" s="17" t="n">
        <x:v>191</x:v>
      </x:c>
      <x:c r="B257" s="17" t="str">
        <x:v>Zhenyue Lu</x:v>
      </x:c>
      <x:c r="C257" s="17" t="str"/>
      <x:c r="D257" s="17" t="n">
        <x:v>0</x:v>
      </x:c>
      <x:c r="E257" s="17" t="n">
        <x:v>0</x:v>
      </x:c>
      <x:c r="F257" s="17" t="n">
        <x:v>1</x:v>
      </x:c>
      <x:c r="G257" s="17" t="n">
        <x:v>1</x:v>
      </x:c>
      <x:c r="H257" s="16" t="str"/>
      <x:c r="I257" s="16" t="str"/>
      <x:c r="J257" s="16" t="str">
        <x:v>2019-08-20—2019-08-29｜第6届世界青年公开锦标赛｜U16 Teams｜SXSATURN</x:v>
      </x:c>
    </x:row>
    <x:row r="258">
      <x:c r="A258" s="36" t="n">
        <x:v>191</x:v>
      </x:c>
      <x:c r="B258" s="36" t="str">
        <x:v>Zhixian Tian</x:v>
      </x:c>
      <x:c r="C258" s="36" t="str"/>
      <x:c r="D258" s="36" t="n">
        <x:v>0</x:v>
      </x:c>
      <x:c r="E258" s="36" t="n">
        <x:v>0</x:v>
      </x:c>
      <x:c r="F258" s="36" t="n">
        <x:v>1</x:v>
      </x:c>
      <x:c r="G258" s="36" t="n">
        <x:v>1</x:v>
      </x:c>
      <x:c r="H258" s="35" t="str"/>
      <x:c r="I258" s="35" t="str"/>
      <x:c r="J258" s="35" t="str">
        <x:v>2019-08-20—2019-08-29｜第6届世界青年公开锦标赛｜U16 Teams｜SXSATURN</x:v>
      </x:c>
    </x:row>
    <x:row r="259">
      <x:c r="A259" s="17" t="n">
        <x:v>191</x:v>
      </x:c>
      <x:c r="B259" s="17" t="str">
        <x:v>Zhizhou Sha</x:v>
      </x:c>
      <x:c r="C259" s="17" t="str"/>
      <x:c r="D259" s="17" t="n">
        <x:v>0</x:v>
      </x:c>
      <x:c r="E259" s="17" t="n">
        <x:v>0</x:v>
      </x:c>
      <x:c r="F259" s="17" t="n">
        <x:v>1</x:v>
      </x:c>
      <x:c r="G259" s="17" t="n">
        <x:v>1</x:v>
      </x:c>
      <x:c r="H259" s="16" t="str"/>
      <x:c r="I259" s="16" t="str"/>
      <x:c r="J259" s="16" t="str">
        <x:v>2013｜第3届世界青年公开锦标赛｜U21 Teams / Youngsters Teams｜CHINA XNWY</x:v>
      </x:c>
    </x:row>
    <x:row r="260">
      <x:c r="A260" s="36" t="n">
        <x:v>191</x:v>
      </x:c>
      <x:c r="B260" s="36" t="str">
        <x:v>Zimo Chen</x:v>
      </x:c>
      <x:c r="C260" s="36" t="str"/>
      <x:c r="D260" s="36" t="n">
        <x:v>0</x:v>
      </x:c>
      <x:c r="E260" s="36" t="n">
        <x:v>0</x:v>
      </x:c>
      <x:c r="F260" s="36" t="n">
        <x:v>1</x:v>
      </x:c>
      <x:c r="G260" s="36" t="n">
        <x:v>1</x:v>
      </x:c>
      <x:c r="H260" s="35" t="str"/>
      <x:c r="I260" s="35" t="str"/>
      <x:c r="J260" s="35" t="str">
        <x:v>2026-08-03—2026-08-08｜第9届世界青年跨国锦标赛｜U16 Teams｜SHANGHAI NTBC TANK</x:v>
      </x:c>
    </x:row>
    <x:row r="261">
      <x:c r="A261" s="17" t="n">
        <x:v>191</x:v>
      </x:c>
      <x:c r="B261" s="17" t="str">
        <x:v>Zisu Lin</x:v>
      </x:c>
      <x:c r="C261" s="17" t="str"/>
      <x:c r="D261" s="17" t="n">
        <x:v>0</x:v>
      </x:c>
      <x:c r="E261" s="17" t="n">
        <x:v>0</x:v>
      </x:c>
      <x:c r="F261" s="17" t="n">
        <x:v>1</x:v>
      </x:c>
      <x:c r="G261" s="17" t="n">
        <x:v>1</x:v>
      </x:c>
      <x:c r="H261" s="16" t="str"/>
      <x:c r="I261" s="16" t="str"/>
      <x:c r="J261" s="16" t="str">
        <x:v>2010-10｜世界青年团体锦标赛｜U26 Teams｜CHINA</x:v>
      </x:c>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18" hidden="0" customWidth="1"/>
    <x:col min="4" max="4" width="9" hidden="0" customWidth="1"/>
    <x:col min="5" max="5" width="9" hidden="0" customWidth="1"/>
    <x:col min="6" max="6" width="9" hidden="0" customWidth="1"/>
    <x:col min="7" max="7" width="9" hidden="0" customWidth="1"/>
    <x:col min="8" max="8" width="62" hidden="0" customWidth="1"/>
    <x:col min="9" max="9" width="62" hidden="0" customWidth="1"/>
    <x:col min="10" max="10" width="62" hidden="0" customWidth="1"/>
  </x:cols>
  <x:sheetData>
    <x:row r="1" ht="30" customHeight="1">
      <x:c r="A1" s="39" t="str">
        <x:v>中国（CHN）选手个人奖牌榜（中文姓名最佳猜测）</x:v>
      </x:c>
      <x:c r="B1" s="39"/>
      <x:c r="C1" s="39"/>
      <x:c r="D1" s="39"/>
      <x:c r="E1" s="39"/>
      <x:c r="F1" s="39"/>
      <x:c r="G1" s="39"/>
      <x:c r="H1" s="39"/>
      <x:c r="I1" s="39"/>
      <x:c r="J1" s="39"/>
    </x:row>
    <x:row r="2" ht="50" customHeight="1">
      <x:c r="A2" s="31" t="str">
        <x:v>与“个人奖牌榜”的奖牌数、项目明细和排序一致；仅补充最佳猜测。绿色=高，黄色=中，橙色=低，灰色/空白=无法可靠推断；逐人依据见“中文姓名推断依据”。</x:v>
      </x:c>
      <x:c r="B2" s="31"/>
      <x:c r="C2" s="31"/>
      <x:c r="D2" s="31"/>
      <x:c r="E2" s="31"/>
      <x:c r="F2" s="31"/>
      <x:c r="G2" s="31"/>
      <x:c r="H2" s="31"/>
      <x:c r="I2" s="31"/>
      <x:c r="J2" s="31"/>
    </x:row>
    <x:row r="3">
      <x:c r="A3" s="49" t="str">
        <x:v>绿色：高确定度</x:v>
      </x:c>
      <x:c r="B3" s="49"/>
      <x:c r="C3" s="52" t="str">
        <x:v>黄色：中确定度</x:v>
      </x:c>
      <x:c r="D3" s="52"/>
      <x:c r="E3" s="55" t="str">
        <x:v>橙色：低确定度</x:v>
      </x:c>
      <x:c r="F3" s="55"/>
      <x:c r="G3" s="58" t="str">
        <x:v>灰色/空白：仍无法判断</x:v>
      </x:c>
      <x:c r="H3" s="58"/>
      <x:c r="I3" s="58"/>
      <x:c r="J3" s="58"/>
    </x:row>
    <x:row r="4">
      <x:c r="A4" s="46" t="str">
        <x:v>排名</x:v>
      </x:c>
      <x:c r="B4" s="46" t="str">
        <x:v>WBF英文姓名</x:v>
      </x:c>
      <x:c r="C4" s="46" t="str">
        <x:v>中文姓名最佳猜测</x:v>
      </x:c>
      <x:c r="D4" s="46" t="str">
        <x:v>金牌</x:v>
      </x:c>
      <x:c r="E4" s="46" t="str">
        <x:v>银牌</x:v>
      </x:c>
      <x:c r="F4" s="46" t="str">
        <x:v>铜牌</x:v>
      </x:c>
      <x:c r="G4" s="46" t="str">
        <x:v>总计</x:v>
      </x:c>
      <x:c r="H4" s="46" t="str">
        <x:v>金牌项目明细</x:v>
      </x:c>
      <x:c r="I4" s="46" t="str">
        <x:v>银牌项目明细</x:v>
      </x:c>
      <x:c r="J4" s="46" t="str">
        <x:v>铜牌项目明细</x:v>
      </x:c>
    </x:row>
    <x:row r="5">
      <x:c r="A5" s="17" t="n">
        <x:v>1</x:v>
      </x:c>
      <x:c r="B5" s="17" t="str">
        <x:v>Wen Fei Wang</x:v>
      </x:c>
      <x:c r="C5" s="61" t="str">
        <x:v>王文霏</x:v>
      </x:c>
      <x:c r="D5" s="17" t="n">
        <x:v>2</x:v>
      </x:c>
      <x:c r="E5" s="17" t="n">
        <x:v>7</x:v>
      </x:c>
      <x:c r="F5" s="17" t="n">
        <x:v>4</x:v>
      </x:c>
      <x:c r="G5" s="17" t="n">
        <x:v>13</x:v>
      </x:c>
      <x:c r="H5" s="16" t="str">
        <x:v>2009-08-29—2009-09-12｜世界桥牌团体锦标赛｜Venice Cup 女子团体｜CHINA LONG ZHU
2017｜世界桥牌团体锦标赛｜Venice Cup 女子团体｜CHINA</x:v>
      </x:c>
      <x:c r="I5" s="16" t="str">
        <x:v>1996｜世界桥牌团体奥林匹克赛｜女子团体｜CHINA
1997｜世界桥牌团体锦标赛｜Venice Cup 女子团体｜CHINA
2003｜世界桥牌团体锦标赛｜Venice Cup 女子团体｜CHINA
2006-06｜世界桥牌综合锦标赛｜Women Pairs 女子双人｜Hongli Wang – Wen Fei Wang
2008-10-03—2008-10-18｜第1届世界智力运动会 / 世界桥牌运动会｜Women Teams 女子团体｜CHINA
2014-10｜世界桥牌综合锦标赛｜Women Teams 女子团体｜CHINA
2019-09｜世界桥牌团体锦标赛｜Venice Cup 女子团体｜CHINA</x:v>
      </x:c>
      <x:c r="J5" s="16" t="str">
        <x:v>2007｜世界桥牌团体锦标赛｜Venice Cup 女子团体｜CHINA
2012｜世界桥牌运动会｜Transnational Mixed Teams 跨国混合团体｜CHINA
2014-10｜世界桥牌综合锦标赛｜Mixed Teams 混合团体｜CHINA
2016｜世界桥牌运动会｜World National Women Teams 女子国家团体｜CHINA</x:v>
      </x:c>
    </x:row>
    <x:row r="6">
      <x:c r="A6" s="36" t="n">
        <x:v>2</x:v>
      </x:c>
      <x:c r="B6" s="36" t="str">
        <x:v>Hongli Wang</x:v>
      </x:c>
      <x:c r="C6" s="61" t="str">
        <x:v>王宏利</x:v>
      </x:c>
      <x:c r="D6" s="36" t="n">
        <x:v>2</x:v>
      </x:c>
      <x:c r="E6" s="36" t="n">
        <x:v>6</x:v>
      </x:c>
      <x:c r="F6" s="36" t="n">
        <x:v>1</x:v>
      </x:c>
      <x:c r="G6" s="36" t="n">
        <x:v>9</x:v>
      </x:c>
      <x:c r="H6" s="35" t="str">
        <x:v>2009-08-29—2009-09-12｜世界桥牌团体锦标赛｜Venice Cup 女子团体｜CHINA LONG ZHU
2010-10｜世界桥牌综合锦标赛｜McConnell Cup 女子淘汰团体｜CHINA LADIES TEAM</x:v>
      </x:c>
      <x:c r="I6" s="35" t="str">
        <x:v>1996｜世界桥牌团体奥林匹克赛｜女子团体｜CHINA
2003｜世界桥牌团体锦标赛｜Venice Cup 女子团体｜CHINA
2006-06｜世界桥牌综合锦标赛｜Women Pairs 女子双人｜Hongli Wang – Wen Fei Wang
2008-10-03—2008-10-18｜第1届世界智力运动会 / 世界桥牌运动会｜Women Teams 女子团体｜CHINA
2014-10｜世界桥牌综合锦标赛｜Mixed Teams 混合团体｜CHINA
2014-10｜世界桥牌综合锦标赛｜Women Teams 女子团体｜CHINA</x:v>
      </x:c>
      <x:c r="J6" s="35" t="str">
        <x:v>2007｜世界桥牌团体锦标赛｜Venice Cup 女子团体｜CHINA</x:v>
      </x:c>
    </x:row>
    <x:row r="7">
      <x:c r="A7" s="17" t="n">
        <x:v>3</x:v>
      </x:c>
      <x:c r="B7" s="17" t="str">
        <x:v>Yan Lu</x:v>
      </x:c>
      <x:c r="C7" s="61" t="str">
        <x:v>卢燕</x:v>
      </x:c>
      <x:c r="D7" s="17" t="n">
        <x:v>2</x:v>
      </x:c>
      <x:c r="E7" s="17" t="n">
        <x:v>5</x:v>
      </x:c>
      <x:c r="F7" s="17" t="n">
        <x:v>2</x:v>
      </x:c>
      <x:c r="G7" s="17" t="n">
        <x:v>9</x:v>
      </x:c>
      <x:c r="H7" s="16" t="str">
        <x:v>2010-10｜世界桥牌综合锦标赛｜McConnell Cup 女子淘汰团体｜CHINA LADIES TEAM
2017｜世界桥牌团体锦标赛｜Venice Cup 女子团体｜CHINA</x:v>
      </x:c>
      <x:c r="I7" s="16" t="str">
        <x:v>1997｜世界桥牌团体锦标赛｜Venice Cup 女子团体｜CHINA
2014-10｜世界桥牌综合锦标赛｜Women Teams 女子团体｜CHINA
2019-09｜世界桥牌团体锦标赛｜Venice Cup 女子团体｜CHINA
2024-10-22—2024-11-03｜第16届世界桥牌运动会｜Mixed Teams 混合团体｜CHINA
2025-08-20—2025-08-31｜第47届世界桥牌团体锦标赛｜Wuhan Cup 混合团体｜CHINA</x:v>
      </x:c>
      <x:c r="J7" s="16" t="str">
        <x:v>2004｜世界桥牌奥林匹克赛｜Transnational Mixed Teams 跨国混合团体｜CHINA
2016｜世界桥牌运动会｜World National Women Teams 女子国家团体｜CHINA</x:v>
      </x:c>
    </x:row>
    <x:row r="8">
      <x:c r="A8" s="36" t="n">
        <x:v>4</x:v>
      </x:c>
      <x:c r="B8" s="36" t="str">
        <x:v>Ming Sun</x:v>
      </x:c>
      <x:c r="C8" s="61" t="str">
        <x:v>孙铭</x:v>
      </x:c>
      <x:c r="D8" s="36" t="n">
        <x:v>2</x:v>
      </x:c>
      <x:c r="E8" s="36" t="n">
        <x:v>4</x:v>
      </x:c>
      <x:c r="F8" s="36" t="n">
        <x:v>3</x:v>
      </x:c>
      <x:c r="G8" s="36" t="n">
        <x:v>9</x:v>
      </x:c>
      <x:c r="H8" s="35" t="str">
        <x:v>2009-08-29—2009-09-12｜世界桥牌团体锦标赛｜Venice Cup 女子团体｜CHINA LONG ZHU
2010-10｜世界桥牌综合锦标赛｜McConnell Cup 女子淘汰团体｜CHINA LADIES TEAM</x:v>
      </x:c>
      <x:c r="I8" s="35" t="str">
        <x:v>1996｜世界桥牌团体奥林匹克赛｜女子团体｜CHINA
1997｜世界桥牌团体锦标赛｜Venice Cup 女子团体｜CHINA
2008-10-03—2008-10-18｜第1届世界智力运动会 / 世界桥牌运动会｜Women Teams 女子团体｜CHINA
2018｜世界桥牌综合锦标赛｜World Senior Teams 老年团体｜CHINA</x:v>
      </x:c>
      <x:c r="J8" s="35" t="str">
        <x:v>1991｜世界桥牌团体锦标赛｜Venice Cup 女子团体｜CHINA
2004｜世界桥牌奥林匹克赛｜Transnational Mixed Teams 跨国混合团体｜CHINA
2007｜世界桥牌团体锦标赛｜Venice Cup 女子团体｜CHINA</x:v>
      </x:c>
    </x:row>
    <x:row r="9">
      <x:c r="A9" s="17" t="n">
        <x:v>5</x:v>
      </x:c>
      <x:c r="B9" s="17" t="str">
        <x:v>Yizhou Liu</x:v>
      </x:c>
      <x:c r="C9" s="61" t="str">
        <x:v>刘易洲</x:v>
      </x:c>
      <x:c r="D9" s="17" t="n">
        <x:v>2</x:v>
      </x:c>
      <x:c r="E9" s="17" t="n">
        <x:v>2</x:v>
      </x:c>
      <x:c r="F9" s="17" t="n">
        <x:v>0</x:v>
      </x:c>
      <x:c r="G9" s="17" t="n">
        <x:v>4</x:v>
      </x:c>
      <x:c r="H9" s="16" t="str">
        <x:v>2017-08-15—2017-08-24｜第5届世界青年公开锦标赛｜U16 BAM｜SHENGXING VENUS
2017-08-15—2017-08-24｜第5届世界青年公开锦标赛｜U16 Pairs / Kids Pairs｜Yizhou Liu – Mingyu Lu</x:v>
      </x:c>
      <x:c r="I9" s="16" t="str">
        <x:v>2016-08-03—2016-08-13｜世界青年团体锦标赛｜U16 Teams｜CHINA2
2017-08-15—2017-08-24｜第5届世界青年公开锦标赛｜U16 Teams / Kids Teams｜SHENGXING VENUS</x:v>
      </x:c>
      <x:c r="J9" s="16" t="str"/>
    </x:row>
    <x:row r="10">
      <x:c r="A10" s="36" t="n">
        <x:v>6</x:v>
      </x:c>
      <x:c r="B10" s="36" t="str">
        <x:v>Hongji Wei</x:v>
      </x:c>
      <x:c r="C10" s="61" t="str">
        <x:v>魏宏济</x:v>
      </x:c>
      <x:c r="D10" s="36" t="n">
        <x:v>2</x:v>
      </x:c>
      <x:c r="E10" s="36" t="n">
        <x:v>1</x:v>
      </x:c>
      <x:c r="F10" s="36" t="n">
        <x:v>1</x:v>
      </x:c>
      <x:c r="G10" s="36" t="n">
        <x:v>4</x:v>
      </x:c>
      <x:c r="H10" s="35" t="str">
        <x:v>2015-08-20—2015-08-29｜第4届世界青年公开锦标赛｜U21 Pairs｜Hongji Wei – Shiyu Sun
2015-08-20—2015-08-29｜第4届世界青年公开锦标赛｜U21 Teams / Youngsters Teams｜CHINA</x:v>
      </x:c>
      <x:c r="I10" s="35" t="str">
        <x:v>2016-08-03—2016-08-13｜世界青年团体锦标赛｜U26 Teams｜CHINA</x:v>
      </x:c>
      <x:c r="J10" s="35" t="str">
        <x:v>2019-08-20—2019-08-29｜第6届世界青年公开锦标赛｜U26 Pairs｜Hongji Wei – Shiyu Sun</x:v>
      </x:c>
    </x:row>
    <x:row r="11">
      <x:c r="A11" s="17" t="n">
        <x:v>6</x:v>
      </x:c>
      <x:c r="B11" s="17" t="str">
        <x:v>Jie Zhao</x:v>
      </x:c>
      <x:c r="C11" s="61" t="str">
        <x:v>赵杰</x:v>
      </x:c>
      <x:c r="D11" s="17" t="n">
        <x:v>2</x:v>
      </x:c>
      <x:c r="E11" s="17" t="n">
        <x:v>1</x:v>
      </x:c>
      <x:c r="F11" s="17" t="n">
        <x:v>1</x:v>
      </x:c>
      <x:c r="G11" s="17" t="n">
        <x:v>4</x:v>
      </x:c>
      <x:c r="H11" s="16" t="str">
        <x:v>2006-06｜世界桥牌综合锦标赛｜Open Pairs 公开双人｜Zhong Fu – Jie Zhao
2014-10｜世界桥牌综合锦标赛｜Mixed Pairs 混合双人｜Jie Zhao – Kerri Sanborn</x:v>
      </x:c>
      <x:c r="I11" s="16" t="str">
        <x:v>2003｜世界桥牌团体锦标赛｜Transnational Open Teams 跨国公开团体｜CHINA</x:v>
      </x:c>
      <x:c r="J11" s="16" t="str">
        <x:v>2019-09｜世界桥牌团体锦标赛｜Transnational Open Teams 跨国公开团体｜CHINA</x:v>
      </x:c>
    </x:row>
    <x:row r="12">
      <x:c r="A12" s="36" t="n">
        <x:v>6</x:v>
      </x:c>
      <x:c r="B12" s="36" t="str">
        <x:v>Shiyu Sun</x:v>
      </x:c>
      <x:c r="C12" s="61" t="str">
        <x:v>孙世昱</x:v>
      </x:c>
      <x:c r="D12" s="36" t="n">
        <x:v>2</x:v>
      </x:c>
      <x:c r="E12" s="36" t="n">
        <x:v>1</x:v>
      </x:c>
      <x:c r="F12" s="36" t="n">
        <x:v>1</x:v>
      </x:c>
      <x:c r="G12" s="36" t="n">
        <x:v>4</x:v>
      </x:c>
      <x:c r="H12" s="35" t="str">
        <x:v>2015-08-20—2015-08-29｜第4届世界青年公开锦标赛｜U21 Pairs｜Hongji Wei – Shiyu Sun
2015-08-20—2015-08-29｜第4届世界青年公开锦标赛｜U21 Teams / Youngsters Teams｜CHINA</x:v>
      </x:c>
      <x:c r="I12" s="35" t="str">
        <x:v>2016-08-03—2016-08-13｜世界青年团体锦标赛｜U26 Teams｜CHINA</x:v>
      </x:c>
      <x:c r="J12" s="35" t="str">
        <x:v>2019-08-20—2019-08-29｜第6届世界青年公开锦标赛｜U26 Pairs｜Hongji Wei – Shiyu Sun</x:v>
      </x:c>
    </x:row>
    <x:row r="13">
      <x:c r="A13" s="17" t="n">
        <x:v>9</x:v>
      </x:c>
      <x:c r="B13" s="17" t="str">
        <x:v>Mingyu Lu</x:v>
      </x:c>
      <x:c r="C13" s="61" t="str">
        <x:v>陆鸣宇</x:v>
      </x:c>
      <x:c r="D13" s="17" t="n">
        <x:v>2</x:v>
      </x:c>
      <x:c r="E13" s="17" t="n">
        <x:v>1</x:v>
      </x:c>
      <x:c r="F13" s="17" t="n">
        <x:v>0</x:v>
      </x:c>
      <x:c r="G13" s="17" t="n">
        <x:v>3</x:v>
      </x:c>
      <x:c r="H13" s="16" t="str">
        <x:v>2017-08-15—2017-08-24｜第5届世界青年公开锦标赛｜U16 BAM｜SHENGXING VENUS
2017-08-15—2017-08-24｜第5届世界青年公开锦标赛｜U16 Pairs / Kids Pairs｜Yizhou Liu – Mingyu Lu</x:v>
      </x:c>
      <x:c r="I13" s="16" t="str">
        <x:v>2017-08-15—2017-08-24｜第5届世界青年公开锦标赛｜U16 Teams / Kids Teams｜SHENGXING VENUS</x:v>
      </x:c>
      <x:c r="J13" s="16" t="str"/>
    </x:row>
    <x:row r="14">
      <x:c r="A14" s="36" t="n">
        <x:v>9</x:v>
      </x:c>
      <x:c r="B14" s="36" t="str">
        <x:v>Tianle Yao</x:v>
      </x:c>
      <x:c r="C14" s="61" t="str">
        <x:v>姚添乐</x:v>
      </x:c>
      <x:c r="D14" s="36" t="n">
        <x:v>2</x:v>
      </x:c>
      <x:c r="E14" s="36" t="n">
        <x:v>1</x:v>
      </x:c>
      <x:c r="F14" s="36" t="n">
        <x:v>0</x:v>
      </x:c>
      <x:c r="G14" s="36" t="n">
        <x:v>3</x:v>
      </x:c>
      <x:c r="H14" s="35" t="str">
        <x:v>2015-08-20—2015-08-29｜第4届世界青年公开锦标赛｜U16 Teams / Kids Teams｜SX HYSW
2017-08-15—2017-08-24｜第5届世界青年公开锦标赛｜U16 BAM｜SHENGXING VENUS</x:v>
      </x:c>
      <x:c r="I14" s="35" t="str">
        <x:v>2017-08-15—2017-08-24｜第5届世界青年公开锦标赛｜U16 Teams / Kids Teams｜SHENGXING VENUS</x:v>
      </x:c>
      <x:c r="J14" s="35" t="str"/>
    </x:row>
    <x:row r="15">
      <x:c r="A15" s="17" t="n">
        <x:v>9</x:v>
      </x:c>
      <x:c r="B15" s="17" t="str">
        <x:v>Xinhao Wu</x:v>
      </x:c>
      <x:c r="C15" s="64" t="str">
        <x:v>吴昕昊</x:v>
      </x:c>
      <x:c r="D15" s="17" t="n">
        <x:v>2</x:v>
      </x:c>
      <x:c r="E15" s="17" t="n">
        <x:v>1</x:v>
      </x:c>
      <x:c r="F15" s="17" t="n">
        <x:v>0</x:v>
      </x:c>
      <x:c r="G15" s="17" t="n">
        <x:v>3</x:v>
      </x:c>
      <x:c r="H15" s="16" t="str">
        <x:v>2025-07-12—2025-07-17｜第19届世界青年团体锦标赛｜U16 BAM｜CHINA
2026-08-03—2026-08-08｜第9届世界青年跨国锦标赛｜U16 Teams｜NT TTAOQI</x:v>
      </x:c>
      <x:c r="I15" s="16" t="str">
        <x:v>2026-08-03—2026-08-08｜第9届世界青年跨国锦标赛｜U16 Pairs｜Xinhao Wu – Yezhen Ji</x:v>
      </x:c>
      <x:c r="J15" s="16" t="str"/>
    </x:row>
    <x:row r="16">
      <x:c r="A16" s="36" t="n">
        <x:v>12</x:v>
      </x:c>
      <x:c r="B16" s="36" t="str">
        <x:v>Ling Gu</x:v>
      </x:c>
      <x:c r="C16" s="61" t="str">
        <x:v>古玲</x:v>
      </x:c>
      <x:c r="D16" s="36" t="n">
        <x:v>1</x:v>
      </x:c>
      <x:c r="E16" s="36" t="n">
        <x:v>4</x:v>
      </x:c>
      <x:c r="F16" s="36" t="n">
        <x:v>3</x:v>
      </x:c>
      <x:c r="G16" s="36" t="n">
        <x:v>8</x:v>
      </x:c>
      <x:c r="H16" s="35" t="str">
        <x:v>2010-10｜世界桥牌综合锦标赛｜McConnell Cup 女子淘汰团体｜CHINA LADIES TEAM</x:v>
      </x:c>
      <x:c r="I16" s="35" t="str">
        <x:v>1996｜世界桥牌团体奥林匹克赛｜女子团体｜CHINA
1997｜世界桥牌团体锦标赛｜Venice Cup 女子团体｜CHINA
2003｜世界桥牌团体锦标赛｜Venice Cup 女子团体｜CHINA
2008-10-03—2008-10-18｜第1届世界智力运动会 / 世界桥牌运动会｜Women Teams 女子团体｜CHINA</x:v>
      </x:c>
      <x:c r="J16" s="35" t="str">
        <x:v>1991｜世界桥牌团体锦标赛｜Venice Cup 女子团体｜CHINA
2007｜世界桥牌团体锦标赛｜Venice Cup 女子团体｜CHINA
2016｜世界桥牌运动会｜World National Women Pairs 女子国家双人｜Ling Gu – Tao Zhou</x:v>
      </x:c>
    </x:row>
    <x:row r="17">
      <x:c r="A17" s="17" t="n">
        <x:v>13</x:v>
      </x:c>
      <x:c r="B17" s="17" t="str">
        <x:v>Yunpeng Chen</x:v>
      </x:c>
      <x:c r="C17" s="61" t="str">
        <x:v>陈云芃</x:v>
      </x:c>
      <x:c r="D17" s="17" t="n">
        <x:v>1</x:v>
      </x:c>
      <x:c r="E17" s="17" t="n">
        <x:v>4</x:v>
      </x:c>
      <x:c r="F17" s="17" t="n">
        <x:v>1</x:v>
      </x:c>
      <x:c r="G17" s="17" t="n">
        <x:v>6</x:v>
      </x:c>
      <x:c r="H17" s="16" t="str">
        <x:v>2017-08-15—2017-08-24｜第5届世界青年公开锦标赛｜U26 Women Teams / Girls Teams｜SHENGXING TEAM 1</x:v>
      </x:c>
      <x:c r="I17" s="16" t="str">
        <x:v>2015-08-20—2015-08-29｜第4届世界青年公开锦标赛｜U26 Women Teams / Girls Teams｜SX XHLD
2016-08-03—2016-08-13｜世界青年团体锦标赛｜U16 Teams｜CHINA2
2017-08-15—2017-08-24｜第5届世界青年公开锦标赛｜U26 Women Pairs / Girls Pairs｜Yunpeng Chen – Jiaming Xu
2019-08-20—2019-08-29｜第6届世界青年公开锦标赛｜U26 Women Teams｜SXPEONY</x:v>
      </x:c>
      <x:c r="J17" s="16" t="str">
        <x:v>2025-07-12—2025-07-17｜第19届世界青年团体锦标赛｜U26 Women Teams｜CHINA</x:v>
      </x:c>
    </x:row>
    <x:row r="18">
      <x:c r="A18" s="36" t="n">
        <x:v>14</x:v>
      </x:c>
      <x:c r="B18" s="36" t="str">
        <x:v>Baozhuo Jiang</x:v>
      </x:c>
      <x:c r="C18" s="64" t="str">
        <x:v>江宝卓</x:v>
      </x:c>
      <x:c r="D18" s="36" t="n">
        <x:v>1</x:v>
      </x:c>
      <x:c r="E18" s="36" t="n">
        <x:v>3</x:v>
      </x:c>
      <x:c r="F18" s="36" t="n">
        <x:v>2</x:v>
      </x:c>
      <x:c r="G18" s="36" t="n">
        <x:v>6</x:v>
      </x:c>
      <x:c r="H18" s="35" t="str">
        <x:v>2026-08-03—2026-08-08｜第9届世界青年跨国锦标赛｜U26 Pairs｜Baozhuo Jiang – Brian Zhang</x:v>
      </x:c>
      <x:c r="I18" s="35" t="str">
        <x:v>2015-08-20—2015-08-29｜第4届世界青年公开锦标赛｜U16 Teams / Kids Teams｜CHINA RDFZ1
2018-08-08—2018-08-18｜世界青年团体锦标赛｜Youth BAM｜CHINA YOUNGSTERS
2026-08-03—2026-08-08｜第9届世界青年跨国锦标赛｜U26 Teams｜REIGNWOOD JUNIORS</x:v>
      </x:c>
      <x:c r="J18" s="35" t="str">
        <x:v>2014-08-13—2014-08-23｜世界青年团体锦标赛｜U16 Teams｜CHINA
2017-08-15—2017-08-24｜第5届世界青年公开锦标赛｜U21 Teams / Youngsters Teams｜CHINA</x:v>
      </x:c>
    </x:row>
    <x:row r="19">
      <x:c r="A19" s="17" t="n">
        <x:v>14</x:v>
      </x:c>
      <x:c r="B19" s="17" t="str">
        <x:v>Xinyao Ruan</x:v>
      </x:c>
      <x:c r="C19" s="61" t="str">
        <x:v>阮歆瑶</x:v>
      </x:c>
      <x:c r="D19" s="17" t="n">
        <x:v>1</x:v>
      </x:c>
      <x:c r="E19" s="17" t="n">
        <x:v>3</x:v>
      </x:c>
      <x:c r="F19" s="17" t="n">
        <x:v>2</x:v>
      </x:c>
      <x:c r="G19" s="17" t="n">
        <x:v>6</x:v>
      </x:c>
      <x:c r="H19" s="16" t="str">
        <x:v>2017-08-15—2017-08-24｜第5届世界青年公开锦标赛｜U26 Women Teams / Girls Teams｜SHENGXING TEAM 1</x:v>
      </x:c>
      <x:c r="I19" s="16" t="str">
        <x:v>2015-08-20—2015-08-29｜第4届世界青年公开锦标赛｜U26 Women Teams / Girls Teams｜SX XHLD
2016-08-03—2016-08-13｜世界青年团体锦标赛｜U16 Teams｜CHINA2
2019-08-20—2019-08-29｜第6届世界青年公开锦标赛｜U26 Women Teams｜SXPEONY</x:v>
      </x:c>
      <x:c r="J19" s="16" t="str">
        <x:v>2017-08-15—2017-08-24｜第5届世界青年公开锦标赛｜U26 Women Pairs / Girls Pairs｜Xinyao Ruan – Yajie Lu
2025-07-12—2025-07-17｜第19届世界青年团体锦标赛｜U26 Women Teams｜CHINA</x:v>
      </x:c>
    </x:row>
    <x:row r="20">
      <x:c r="A20" s="36" t="n">
        <x:v>16</x:v>
      </x:c>
      <x:c r="B20" s="36" t="str">
        <x:v>Bo Fu</x:v>
      </x:c>
      <x:c r="C20" s="61" t="str">
        <x:v>傅博</x:v>
      </x:c>
      <x:c r="D20" s="36" t="n">
        <x:v>1</x:v>
      </x:c>
      <x:c r="E20" s="36" t="n">
        <x:v>3</x:v>
      </x:c>
      <x:c r="F20" s="36" t="n">
        <x:v>0</x:v>
      </x:c>
      <x:c r="G20" s="36" t="n">
        <x:v>4</x:v>
      </x:c>
      <x:c r="H20" s="35" t="str">
        <x:v>2018-08-08—2018-08-18｜世界青年团体锦标赛｜U26 Women Teams｜CHINA</x:v>
      </x:c>
      <x:c r="I20" s="35" t="str">
        <x:v>2014-08-13—2014-08-23｜世界青年团体锦标赛｜U26 Women Teams｜CHINA
2024-10-22—2024-11-03｜第16届世界桥牌运动会｜Mixed Teams 混合团体｜CHINA
2025-08-20—2025-08-31｜第47届世界桥牌团体锦标赛｜Wuhan Cup 混合团体｜CHINA</x:v>
      </x:c>
      <x:c r="J20" s="35" t="str"/>
    </x:row>
    <x:row r="21">
      <x:c r="A21" s="17" t="n">
        <x:v>17</x:v>
      </x:c>
      <x:c r="B21" s="17" t="str">
        <x:v>Yi Qian Liu</x:v>
      </x:c>
      <x:c r="C21" s="61" t="str">
        <x:v>刘逸倩</x:v>
      </x:c>
      <x:c r="D21" s="17" t="n">
        <x:v>1</x:v>
      </x:c>
      <x:c r="E21" s="17" t="n">
        <x:v>2</x:v>
      </x:c>
      <x:c r="F21" s="17" t="n">
        <x:v>4</x:v>
      </x:c>
      <x:c r="G21" s="17" t="n">
        <x:v>7</x:v>
      </x:c>
      <x:c r="H21" s="16" t="str">
        <x:v>2009-08-29—2009-09-12｜世界桥牌团体锦标赛｜Venice Cup 女子团体｜CHINA LONG ZHU</x:v>
      </x:c>
      <x:c r="I21" s="16" t="str">
        <x:v>2008-10-03—2008-10-18｜第1届世界智力运动会 / 世界桥牌运动会｜Women Teams 女子团体｜CHINA
2013｜世界桥牌团体锦标赛｜Transnational Open Teams 跨国公开团体｜CHINA</x:v>
      </x:c>
      <x:c r="J21" s="16" t="str">
        <x:v>1991｜世界桥牌团体锦标赛｜Venice Cup 女子团体｜CHINA
2007｜世界桥牌团体锦标赛｜Venice Cup 女子团体｜CHINA
2012｜世界桥牌运动会｜Transnational Mixed Teams 跨国混合团体｜CHINA
2014-10｜世界桥牌综合锦标赛｜Mixed Teams 混合团体｜CHINA</x:v>
      </x:c>
    </x:row>
    <x:row r="22">
      <x:c r="A22" s="36" t="n">
        <x:v>18</x:v>
      </x:c>
      <x:c r="B22" s="36" t="str">
        <x:v>Nan Wang</x:v>
      </x:c>
      <x:c r="C22" s="61" t="str">
        <x:v>王南</x:v>
      </x:c>
      <x:c r="D22" s="36" t="n">
        <x:v>1</x:v>
      </x:c>
      <x:c r="E22" s="36" t="n">
        <x:v>2</x:v>
      </x:c>
      <x:c r="F22" s="36" t="n">
        <x:v>3</x:v>
      </x:c>
      <x:c r="G22" s="36" t="n">
        <x:v>6</x:v>
      </x:c>
      <x:c r="H22" s="35" t="str">
        <x:v>2017｜世界桥牌团体锦标赛｜Venice Cup 女子团体｜CHINA</x:v>
      </x:c>
      <x:c r="I22" s="35" t="str">
        <x:v>2019-09｜世界桥牌团体锦标赛｜Venice Cup 女子团体｜CHINA
2025-08-20—2025-08-31｜第47届世界桥牌团体锦标赛｜Venice Cup 女子团体｜CHINA</x:v>
      </x:c>
      <x:c r="J22" s="35" t="str">
        <x:v>2014-10｜世界桥牌综合锦标赛｜Mixed Pairs 混合双人｜Bangxiang Zhang – Nan Wang
2016｜世界桥牌运动会｜World National Women Teams 女子国家团体｜CHINA
2018｜世界桥牌综合锦标赛｜Women Pairs 女子双人｜Yan Huang – Nan Wang</x:v>
      </x:c>
    </x:row>
    <x:row r="23">
      <x:c r="A23" s="17" t="n">
        <x:v>19</x:v>
      </x:c>
      <x:c r="B23" s="17" t="str">
        <x:v>Chenyun Ge</x:v>
      </x:c>
      <x:c r="C23" s="61" t="str">
        <x:v>葛晨韵</x:v>
      </x:c>
      <x:c r="D23" s="17" t="n">
        <x:v>1</x:v>
      </x:c>
      <x:c r="E23" s="17" t="n">
        <x:v>2</x:v>
      </x:c>
      <x:c r="F23" s="17" t="n">
        <x:v>1</x:v>
      </x:c>
      <x:c r="G23" s="17" t="n">
        <x:v>4</x:v>
      </x:c>
      <x:c r="H23" s="16" t="str">
        <x:v>2017-08-15—2017-08-24｜第5届世界青年公开锦标赛｜U26 Women Teams / Girls Teams｜SHENGXING TEAM 1</x:v>
      </x:c>
      <x:c r="I23" s="16" t="str">
        <x:v>2015-08-20—2015-08-29｜第4届世界青年公开锦标赛｜U26 Women Teams / Girls Teams｜SX XHLD
2019-08-20—2019-08-29｜第6届世界青年公开锦标赛｜U26 Women Teams｜SXPEONY</x:v>
      </x:c>
      <x:c r="J23" s="16" t="str">
        <x:v>2019-08-20—2019-08-29｜第6届世界青年公开锦标赛｜U26 Women Pairs｜Yijia Lu – Chenyun Ge</x:v>
      </x:c>
    </x:row>
    <x:row r="24">
      <x:c r="A24" s="36" t="n">
        <x:v>20</x:v>
      </x:c>
      <x:c r="B24" s="36" t="str">
        <x:v>Cheng Deng</x:v>
      </x:c>
      <x:c r="C24" s="61" t="str">
        <x:v>邓程</x:v>
      </x:c>
      <x:c r="D24" s="36" t="n">
        <x:v>1</x:v>
      </x:c>
      <x:c r="E24" s="36" t="n">
        <x:v>2</x:v>
      </x:c>
      <x:c r="F24" s="36" t="n">
        <x:v>0</x:v>
      </x:c>
      <x:c r="G24" s="36" t="n">
        <x:v>3</x:v>
      </x:c>
      <x:c r="H24" s="35" t="str">
        <x:v>2017-08-15—2017-08-24｜第5届世界青年公开锦标赛｜U21 Pairs / Youngsters Pairs｜Cheng Deng – Zhijie Yuan</x:v>
      </x:c>
      <x:c r="I24" s="35" t="str">
        <x:v>2016-08-03—2016-08-13｜世界青年团体锦标赛｜U16 Teams｜CHINA2
2017-08-15—2017-08-24｜第5届世界青年公开锦标赛｜U21 Teams / Youngsters Teams｜SHENGXING TEAM</x:v>
      </x:c>
      <x:c r="J24" s="35" t="str"/>
    </x:row>
    <x:row r="25">
      <x:c r="A25" s="17" t="n">
        <x:v>20</x:v>
      </x:c>
      <x:c r="B25" s="17" t="str">
        <x:v>Haochen Liu</x:v>
      </x:c>
      <x:c r="C25" s="64" t="str">
        <x:v>刘皓宸</x:v>
      </x:c>
      <x:c r="D25" s="17" t="n">
        <x:v>1</x:v>
      </x:c>
      <x:c r="E25" s="17" t="n">
        <x:v>2</x:v>
      </x:c>
      <x:c r="F25" s="17" t="n">
        <x:v>0</x:v>
      </x:c>
      <x:c r="G25" s="17" t="n">
        <x:v>3</x:v>
      </x:c>
      <x:c r="H25" s="16" t="str">
        <x:v>2017-08-15—2017-08-24｜第5届世界青年公开锦标赛｜U16 BAM｜SHENGXING VENUS</x:v>
      </x:c>
      <x:c r="I25" s="16" t="str">
        <x:v>2017-08-15—2017-08-24｜第5届世界青年公开锦标赛｜U16 Teams / Kids Teams｜SHENGXING VENUS
2026-08-03—2026-08-08｜第9届世界青年跨国锦标赛｜U31 Teams｜CHINA U31</x:v>
      </x:c>
      <x:c r="J25" s="16" t="str"/>
    </x:row>
    <x:row r="26">
      <x:c r="A26" s="36" t="n">
        <x:v>20</x:v>
      </x:c>
      <x:c r="B26" s="36" t="str">
        <x:v>Jiaming Xu</x:v>
      </x:c>
      <x:c r="C26" s="61" t="str">
        <x:v>徐佳茗</x:v>
      </x:c>
      <x:c r="D26" s="36" t="n">
        <x:v>1</x:v>
      </x:c>
      <x:c r="E26" s="36" t="n">
        <x:v>2</x:v>
      </x:c>
      <x:c r="F26" s="36" t="n">
        <x:v>0</x:v>
      </x:c>
      <x:c r="G26" s="36" t="n">
        <x:v>3</x:v>
      </x:c>
      <x:c r="H26" s="35" t="str">
        <x:v>2017-08-15—2017-08-24｜第5届世界青年公开锦标赛｜U26 Women Teams / Girls Teams｜SHENGXING TEAM 1</x:v>
      </x:c>
      <x:c r="I26" s="35" t="str">
        <x:v>2017-08-15—2017-08-24｜第5届世界青年公开锦标赛｜U26 Women Pairs / Girls Pairs｜Yunpeng Chen – Jiaming Xu
2019-08-20—2019-08-29｜第6届世界青年公开锦标赛｜U26 Women Teams｜SXPEONY</x:v>
      </x:c>
      <x:c r="J26" s="35" t="str"/>
    </x:row>
    <x:row r="27">
      <x:c r="A27" s="17" t="n">
        <x:v>20</x:v>
      </x:c>
      <x:c r="B27" s="17" t="str">
        <x:v>Ruicheng Mao</x:v>
      </x:c>
      <x:c r="C27" s="64" t="str">
        <x:v>毛瑞成</x:v>
      </x:c>
      <x:c r="D27" s="17" t="n">
        <x:v>1</x:v>
      </x:c>
      <x:c r="E27" s="17" t="n">
        <x:v>2</x:v>
      </x:c>
      <x:c r="F27" s="17" t="n">
        <x:v>0</x:v>
      </x:c>
      <x:c r="G27" s="17" t="n">
        <x:v>3</x:v>
      </x:c>
      <x:c r="H27" s="16" t="str">
        <x:v>2017-08-15—2017-08-24｜第5届世界青年公开锦标赛｜U16 BAM｜SHENGXING VENUS</x:v>
      </x:c>
      <x:c r="I27" s="16" t="str">
        <x:v>2017-08-15—2017-08-24｜第5届世界青年公开锦标赛｜U16 Pairs / Kids Pairs｜Ruicheng Mao – Zhaochen Yu
2017-08-15—2017-08-24｜第5届世界青年公开锦标赛｜U16 Teams / Kids Teams｜SHENGXING VENUS</x:v>
      </x:c>
      <x:c r="J27" s="16" t="str"/>
    </x:row>
    <x:row r="28">
      <x:c r="A28" s="36" t="n">
        <x:v>20</x:v>
      </x:c>
      <x:c r="B28" s="36" t="str">
        <x:v>Zhaochen Yu</x:v>
      </x:c>
      <x:c r="C28" s="64" t="str">
        <x:v>于昭宸</x:v>
      </x:c>
      <x:c r="D28" s="36" t="n">
        <x:v>1</x:v>
      </x:c>
      <x:c r="E28" s="36" t="n">
        <x:v>2</x:v>
      </x:c>
      <x:c r="F28" s="36" t="n">
        <x:v>0</x:v>
      </x:c>
      <x:c r="G28" s="36" t="n">
        <x:v>3</x:v>
      </x:c>
      <x:c r="H28" s="35" t="str">
        <x:v>2017-08-15—2017-08-24｜第5届世界青年公开锦标赛｜U16 BAM｜SHENGXING VENUS</x:v>
      </x:c>
      <x:c r="I28" s="35" t="str">
        <x:v>2017-08-15—2017-08-24｜第5届世界青年公开锦标赛｜U16 Pairs / Kids Pairs｜Ruicheng Mao – Zhaochen Yu
2017-08-15—2017-08-24｜第5届世界青年公开锦标赛｜U16 Teams / Kids Teams｜SHENGXING VENUS</x:v>
      </x:c>
      <x:c r="J28" s="35" t="str"/>
    </x:row>
    <x:row r="29">
      <x:c r="A29" s="17" t="n">
        <x:v>25</x:v>
      </x:c>
      <x:c r="B29" s="17" t="str">
        <x:v>Yan Huang</x:v>
      </x:c>
      <x:c r="C29" s="61" t="str">
        <x:v>黄艳</x:v>
      </x:c>
      <x:c r="D29" s="17" t="n">
        <x:v>1</x:v>
      </x:c>
      <x:c r="E29" s="17" t="n">
        <x:v>1</x:v>
      </x:c>
      <x:c r="F29" s="17" t="n">
        <x:v>5</x:v>
      </x:c>
      <x:c r="G29" s="17" t="n">
        <x:v>7</x:v>
      </x:c>
      <x:c r="H29" s="16" t="str">
        <x:v>2017｜世界桥牌团体锦标赛｜Venice Cup 女子团体｜CHINA</x:v>
      </x:c>
      <x:c r="I29" s="16" t="str">
        <x:v>2014-10｜世界桥牌综合锦标赛｜Women Pairs 女子双人｜Yan Huang – Ling Gan</x:v>
      </x:c>
      <x:c r="J29" s="16" t="str">
        <x:v>2008-10-03—2008-10-18｜第1届世界智力运动会 / 世界桥牌运动会｜Transnational Mixed Teams 跨国混合团体｜A-EVERTRUST HOLDING GROUP
2016｜世界桥牌运动会｜World National Women Teams 女子国家团体｜CHINA
2018｜世界桥牌综合锦标赛｜Women Pairs 女子双人｜Yan Huang – Nan Wang
2019-09｜世界桥牌团体锦标赛｜Transnational Open Teams 跨国公开团体｜CHINA
2023-08｜世界桥牌团体锦标赛｜Venice Cup 女子团体｜CHINA</x:v>
      </x:c>
    </x:row>
    <x:row r="30">
      <x:c r="A30" s="36" t="n">
        <x:v>26</x:v>
      </x:c>
      <x:c r="B30" s="36" t="str">
        <x:v>Yan Liu</x:v>
      </x:c>
      <x:c r="C30" s="61" t="str">
        <x:v>刘艳</x:v>
      </x:c>
      <x:c r="D30" s="36" t="n">
        <x:v>1</x:v>
      </x:c>
      <x:c r="E30" s="36" t="n">
        <x:v>1</x:v>
      </x:c>
      <x:c r="F30" s="36" t="n">
        <x:v>2</x:v>
      </x:c>
      <x:c r="G30" s="36" t="n">
        <x:v>4</x:v>
      </x:c>
      <x:c r="H30" s="35" t="str">
        <x:v>2017｜世界桥牌团体锦标赛｜Venice Cup 女子团体｜CHINA</x:v>
      </x:c>
      <x:c r="I30" s="35" t="str">
        <x:v>2019-09｜世界桥牌团体锦标赛｜Venice Cup 女子团体｜CHINA</x:v>
      </x:c>
      <x:c r="J30" s="35" t="str">
        <x:v>2016｜世界桥牌运动会｜World National Women Teams 女子国家团体｜CHINA
2023-08｜世界桥牌团体锦标赛｜Venice Cup 女子团体｜CHINA</x:v>
      </x:c>
    </x:row>
    <x:row r="31">
      <x:c r="A31" s="17" t="n">
        <x:v>27</x:v>
      </x:c>
      <x:c r="B31" s="17" t="str">
        <x:v>Qi Shen</x:v>
      </x:c>
      <x:c r="C31" s="61" t="str">
        <x:v>沈琦</x:v>
      </x:c>
      <x:c r="D31" s="17" t="n">
        <x:v>1</x:v>
      </x:c>
      <x:c r="E31" s="17" t="n">
        <x:v>1</x:v>
      </x:c>
      <x:c r="F31" s="17" t="n">
        <x:v>1</x:v>
      </x:c>
      <x:c r="G31" s="17" t="n">
        <x:v>3</x:v>
      </x:c>
      <x:c r="H31" s="16" t="str">
        <x:v>2017｜世界桥牌团体锦标赛｜Venice Cup 女子团体｜CHINA</x:v>
      </x:c>
      <x:c r="I31" s="16" t="str">
        <x:v>2019-09｜世界桥牌团体锦标赛｜Venice Cup 女子团体｜CHINA</x:v>
      </x:c>
      <x:c r="J31" s="16" t="str">
        <x:v>2016｜世界桥牌运动会｜World National Women Teams 女子国家团体｜CHINA</x:v>
      </x:c>
    </x:row>
    <x:row r="32">
      <x:c r="A32" s="36" t="n">
        <x:v>27</x:v>
      </x:c>
      <x:c r="B32" s="36" t="str">
        <x:v>Yijia Lu</x:v>
      </x:c>
      <x:c r="C32" s="61" t="str">
        <x:v>陆亦佳</x:v>
      </x:c>
      <x:c r="D32" s="36" t="n">
        <x:v>1</x:v>
      </x:c>
      <x:c r="E32" s="36" t="n">
        <x:v>1</x:v>
      </x:c>
      <x:c r="F32" s="36" t="n">
        <x:v>1</x:v>
      </x:c>
      <x:c r="G32" s="36" t="n">
        <x:v>3</x:v>
      </x:c>
      <x:c r="H32" s="35" t="str">
        <x:v>2017-08-15—2017-08-24｜第5届世界青年公开锦标赛｜U26 Women Teams / Girls Teams｜SHENGXING TEAM 1</x:v>
      </x:c>
      <x:c r="I32" s="35" t="str">
        <x:v>2019-08-20—2019-08-29｜第6届世界青年公开锦标赛｜U26 Women Teams｜SXPEONY</x:v>
      </x:c>
      <x:c r="J32" s="35" t="str">
        <x:v>2019-08-20—2019-08-29｜第6届世界青年公开锦标赛｜U26 Women Pairs｜Yijia Lu – Chenyun Ge</x:v>
      </x:c>
    </x:row>
    <x:row r="33">
      <x:c r="A33" s="17" t="n">
        <x:v>27</x:v>
      </x:c>
      <x:c r="B33" s="17" t="str">
        <x:v>Zhijie Yuan</x:v>
      </x:c>
      <x:c r="C33" s="61" t="str">
        <x:v>袁智杰</x:v>
      </x:c>
      <x:c r="D33" s="17" t="n">
        <x:v>1</x:v>
      </x:c>
      <x:c r="E33" s="17" t="n">
        <x:v>1</x:v>
      </x:c>
      <x:c r="F33" s="17" t="n">
        <x:v>1</x:v>
      </x:c>
      <x:c r="G33" s="17" t="n">
        <x:v>3</x:v>
      </x:c>
      <x:c r="H33" s="16" t="str">
        <x:v>2017-08-15—2017-08-24｜第5届世界青年公开锦标赛｜U21 Pairs / Youngsters Pairs｜Cheng Deng – Zhijie Yuan</x:v>
      </x:c>
      <x:c r="I33" s="16" t="str">
        <x:v>2017-08-15—2017-08-24｜第5届世界青年公开锦标赛｜U21 Teams / Youngsters Teams｜SHENGXING TEAM</x:v>
      </x:c>
      <x:c r="J33" s="16" t="str">
        <x:v>2015-08-20—2015-08-29｜第4届世界青年公开锦标赛｜U16 Pairs / Kids Pairs｜Zhe Wu – Zhijie Yuan</x:v>
      </x:c>
    </x:row>
    <x:row r="34">
      <x:c r="A34" s="36" t="n">
        <x:v>27</x:v>
      </x:c>
      <x:c r="B34" s="36" t="str">
        <x:v>Zhong Fu</x:v>
      </x:c>
      <x:c r="C34" s="61" t="str">
        <x:v>福中</x:v>
      </x:c>
      <x:c r="D34" s="36" t="n">
        <x:v>1</x:v>
      </x:c>
      <x:c r="E34" s="36" t="n">
        <x:v>1</x:v>
      </x:c>
      <x:c r="F34" s="36" t="n">
        <x:v>1</x:v>
      </x:c>
      <x:c r="G34" s="36" t="n">
        <x:v>3</x:v>
      </x:c>
      <x:c r="H34" s="35" t="str">
        <x:v>2006-06｜世界桥牌综合锦标赛｜Open Pairs 公开双人｜Zhong Fu – Jie Zhao</x:v>
      </x:c>
      <x:c r="I34" s="35" t="str">
        <x:v>2003｜世界桥牌团体锦标赛｜Transnational Open Teams 跨国公开团体｜CHINA</x:v>
      </x:c>
      <x:c r="J34" s="35" t="str">
        <x:v>2004｜世界桥牌奥林匹克赛｜Transnational Mixed Teams 跨国混合团体｜CHINA</x:v>
      </x:c>
    </x:row>
    <x:row r="35">
      <x:c r="A35" s="17" t="n">
        <x:v>31</x:v>
      </x:c>
      <x:c r="B35" s="17" t="str">
        <x:v>Xinyi Li</x:v>
      </x:c>
      <x:c r="C35" s="61" t="str">
        <x:v>李欣怡</x:v>
      </x:c>
      <x:c r="D35" s="17" t="n">
        <x:v>1</x:v>
      </x:c>
      <x:c r="E35" s="17" t="n">
        <x:v>1</x:v>
      </x:c>
      <x:c r="F35" s="17" t="n">
        <x:v>0</x:v>
      </x:c>
      <x:c r="G35" s="17" t="n">
        <x:v>2</x:v>
      </x:c>
      <x:c r="H35" s="16" t="str">
        <x:v>2018-08-08—2018-08-18｜世界青年团体锦标赛｜U26 Women Teams｜CHINA</x:v>
      </x:c>
      <x:c r="I35" s="16" t="str">
        <x:v>2014-08-13—2014-08-23｜世界青年团体锦标赛｜U26 Women Teams｜CHINA</x:v>
      </x:c>
      <x:c r="J35" s="16" t="str"/>
    </x:row>
    <x:row r="36">
      <x:c r="A36" s="36" t="n">
        <x:v>31</x:v>
      </x:c>
      <x:c r="B36" s="36" t="str">
        <x:v>Yezhen Ji</x:v>
      </x:c>
      <x:c r="C36" s="64" t="str">
        <x:v>季烨臻</x:v>
      </x:c>
      <x:c r="D36" s="36" t="n">
        <x:v>1</x:v>
      </x:c>
      <x:c r="E36" s="36" t="n">
        <x:v>1</x:v>
      </x:c>
      <x:c r="F36" s="36" t="n">
        <x:v>0</x:v>
      </x:c>
      <x:c r="G36" s="36" t="n">
        <x:v>2</x:v>
      </x:c>
      <x:c r="H36" s="35" t="str">
        <x:v>2025-07-12—2025-07-17｜第19届世界青年团体锦标赛｜U16 BAM｜CHINA</x:v>
      </x:c>
      <x:c r="I36" s="35" t="str">
        <x:v>2026-08-03—2026-08-08｜第9届世界青年跨国锦标赛｜U16 Pairs｜Xinhao Wu – Yezhen Ji</x:v>
      </x:c>
      <x:c r="J36" s="35" t="str"/>
    </x:row>
    <x:row r="37">
      <x:c r="A37" s="17" t="n">
        <x:v>31</x:v>
      </x:c>
      <x:c r="B37" s="17" t="str">
        <x:v>Yichen Yin</x:v>
      </x:c>
      <x:c r="C37" s="61" t="str">
        <x:v>尹逸尘</x:v>
      </x:c>
      <x:c r="D37" s="17" t="n">
        <x:v>1</x:v>
      </x:c>
      <x:c r="E37" s="17" t="n">
        <x:v>1</x:v>
      </x:c>
      <x:c r="F37" s="17" t="n">
        <x:v>0</x:v>
      </x:c>
      <x:c r="G37" s="17" t="n">
        <x:v>2</x:v>
      </x:c>
      <x:c r="H37" s="16" t="str">
        <x:v>2015-08-20—2015-08-29｜第4届世界青年公开锦标赛｜U21 Teams / Youngsters Teams｜CHINA</x:v>
      </x:c>
      <x:c r="I37" s="16" t="str">
        <x:v>2015-08-20—2015-08-29｜第4届世界青年公开锦标赛｜U21 Pairs｜Yichen Yin – Zhengyang Fang</x:v>
      </x:c>
      <x:c r="J37" s="16" t="str"/>
    </x:row>
    <x:row r="38">
      <x:c r="A38" s="36" t="n">
        <x:v>31</x:v>
      </x:c>
      <x:c r="B38" s="36" t="str">
        <x:v>Yufan Liao</x:v>
      </x:c>
      <x:c r="C38" s="61" t="str">
        <x:v>廖宇凡</x:v>
      </x:c>
      <x:c r="D38" s="36" t="n">
        <x:v>1</x:v>
      </x:c>
      <x:c r="E38" s="36" t="n">
        <x:v>1</x:v>
      </x:c>
      <x:c r="F38" s="36" t="n">
        <x:v>0</x:v>
      </x:c>
      <x:c r="G38" s="36" t="n">
        <x:v>2</x:v>
      </x:c>
      <x:c r="H38" s="35" t="str">
        <x:v>2026-08-03—2026-08-08｜第9届世界青年跨国锦标赛｜U31 Teams｜AGOOFANS</x:v>
      </x:c>
      <x:c r="I38" s="35" t="str">
        <x:v>2018-08-08—2018-08-18｜世界青年团体锦标赛｜Youth BAM｜CHINA YOUNGSTERS</x:v>
      </x:c>
      <x:c r="J38" s="35" t="str"/>
    </x:row>
    <x:row r="39">
      <x:c r="A39" s="17" t="n">
        <x:v>31</x:v>
      </x:c>
      <x:c r="B39" s="17" t="str">
        <x:v>Zhengyang Fang</x:v>
      </x:c>
      <x:c r="C39" s="61" t="str">
        <x:v>房正阳</x:v>
      </x:c>
      <x:c r="D39" s="17" t="n">
        <x:v>1</x:v>
      </x:c>
      <x:c r="E39" s="17" t="n">
        <x:v>1</x:v>
      </x:c>
      <x:c r="F39" s="17" t="n">
        <x:v>0</x:v>
      </x:c>
      <x:c r="G39" s="17" t="n">
        <x:v>2</x:v>
      </x:c>
      <x:c r="H39" s="16" t="str">
        <x:v>2015-08-20—2015-08-29｜第4届世界青年公开锦标赛｜U21 Teams / Youngsters Teams｜CHINA</x:v>
      </x:c>
      <x:c r="I39" s="16" t="str">
        <x:v>2015-08-20—2015-08-29｜第4届世界青年公开锦标赛｜U21 Pairs｜Yichen Yin – Zhengyang Fang</x:v>
      </x:c>
      <x:c r="J39" s="16" t="str"/>
    </x:row>
    <x:row r="40">
      <x:c r="A40" s="36" t="n">
        <x:v>31</x:v>
      </x:c>
      <x:c r="B40" s="36" t="str">
        <x:v>Zixuan Yuan</x:v>
      </x:c>
      <x:c r="C40" s="64" t="str">
        <x:v>袁子轩</x:v>
      </x:c>
      <x:c r="D40" s="36" t="n">
        <x:v>1</x:v>
      </x:c>
      <x:c r="E40" s="36" t="n">
        <x:v>1</x:v>
      </x:c>
      <x:c r="F40" s="36" t="n">
        <x:v>0</x:v>
      </x:c>
      <x:c r="G40" s="36" t="n">
        <x:v>2</x:v>
      </x:c>
      <x:c r="H40" s="35" t="str">
        <x:v>2023-07-31—2023-08-07｜第18届世界青年团体锦标赛｜U16 BAM｜CHINA</x:v>
      </x:c>
      <x:c r="I40" s="35" t="str">
        <x:v>2026-08-03—2026-08-08｜第9届世界青年跨国锦标赛｜U21 Teams｜CHINA RDFZ BAXI</x:v>
      </x:c>
      <x:c r="J40" s="35" t="str"/>
    </x:row>
    <x:row r="41">
      <x:c r="A41" s="17" t="n">
        <x:v>37</x:v>
      </x:c>
      <x:c r="B41" s="17" t="str">
        <x:v>Yingqi Wang</x:v>
      </x:c>
      <x:c r="C41" s="61" t="str">
        <x:v>王膺旗</x:v>
      </x:c>
      <x:c r="D41" s="17" t="n">
        <x:v>1</x:v>
      </x:c>
      <x:c r="E41" s="17" t="n">
        <x:v>0</x:v>
      </x:c>
      <x:c r="F41" s="17" t="n">
        <x:v>3</x:v>
      </x:c>
      <x:c r="G41" s="17" t="n">
        <x:v>4</x:v>
      </x:c>
      <x:c r="H41" s="16" t="str">
        <x:v>2015-08-20—2015-08-29｜第4届世界青年公开锦标赛｜U16 Teams / Kids Teams｜SX HYSW</x:v>
      </x:c>
      <x:c r="I41" s="16" t="str"/>
      <x:c r="J41" s="16" t="str">
        <x:v>2017-08-15—2017-08-24｜第5届世界青年公开锦标赛｜U16 BAM｜SHENGXING SATURN
2017-08-15—2017-08-24｜第5届世界青年公开锦标赛｜U16 Teams / Kids Teams｜SHENGXING SATURN
2019-08-20—2019-08-29｜第6届世界青年公开锦标赛｜Youth BAM｜SXNEBULA</x:v>
      </x:c>
    </x:row>
    <x:row r="42">
      <x:c r="A42" s="36" t="n">
        <x:v>38</x:v>
      </x:c>
      <x:c r="B42" s="36" t="str">
        <x:v>Dongke Fang</x:v>
      </x:c>
      <x:c r="C42" s="61" t="str">
        <x:v>房东柯</x:v>
      </x:c>
      <x:c r="D42" s="36" t="n">
        <x:v>1</x:v>
      </x:c>
      <x:c r="E42" s="36" t="n">
        <x:v>0</x:v>
      </x:c>
      <x:c r="F42" s="36" t="n">
        <x:v>1</x:v>
      </x:c>
      <x:c r="G42" s="36" t="n">
        <x:v>2</x:v>
      </x:c>
      <x:c r="H42" s="35" t="str">
        <x:v>2015-08-20—2015-08-29｜第4届世界青年公开锦标赛｜U21 Teams / Youngsters Teams｜CHINA</x:v>
      </x:c>
      <x:c r="I42" s="35" t="str"/>
      <x:c r="J42" s="35" t="str">
        <x:v>2014-08-13—2014-08-23｜世界青年团体锦标赛｜U16 Teams｜CHINA</x:v>
      </x:c>
    </x:row>
    <x:row r="43">
      <x:c r="A43" s="17" t="n">
        <x:v>38</x:v>
      </x:c>
      <x:c r="B43" s="17" t="str">
        <x:v>Ru Yan</x:v>
      </x:c>
      <x:c r="C43" s="61" t="str">
        <x:v>阎茹</x:v>
      </x:c>
      <x:c r="D43" s="17" t="n">
        <x:v>1</x:v>
      </x:c>
      <x:c r="E43" s="17" t="n">
        <x:v>0</x:v>
      </x:c>
      <x:c r="F43" s="17" t="n">
        <x:v>1</x:v>
      </x:c>
      <x:c r="G43" s="17" t="n">
        <x:v>2</x:v>
      </x:c>
      <x:c r="H43" s="16" t="str">
        <x:v>2009-08-29—2009-09-12｜世界桥牌团体锦标赛｜Venice Cup 女子团体｜CHINA LONG ZHU</x:v>
      </x:c>
      <x:c r="I43" s="16" t="str"/>
      <x:c r="J43" s="16" t="str">
        <x:v>2008-10-03—2008-10-18｜第1届世界智力运动会 / 世界桥牌运动会｜World Masters Individual Women 女子个人｜个人</x:v>
      </x:c>
    </x:row>
    <x:row r="44">
      <x:c r="A44" s="36" t="n">
        <x:v>38</x:v>
      </x:c>
      <x:c r="B44" s="36" t="str">
        <x:v>Tao Zhou</x:v>
      </x:c>
      <x:c r="C44" s="61" t="str">
        <x:v>周涛</x:v>
      </x:c>
      <x:c r="D44" s="36" t="n">
        <x:v>1</x:v>
      </x:c>
      <x:c r="E44" s="36" t="n">
        <x:v>0</x:v>
      </x:c>
      <x:c r="F44" s="36" t="n">
        <x:v>1</x:v>
      </x:c>
      <x:c r="G44" s="36" t="n">
        <x:v>2</x:v>
      </x:c>
      <x:c r="H44" s="35" t="str">
        <x:v>2014-10｜世界桥牌综合锦标赛｜Women Pairs 女子双人｜Tao Zhou – Shu Liu</x:v>
      </x:c>
      <x:c r="I44" s="35" t="str"/>
      <x:c r="J44" s="35" t="str">
        <x:v>2016｜世界桥牌运动会｜World National Women Pairs 女子国家双人｜Ling Gu – Tao Zhou</x:v>
      </x:c>
    </x:row>
    <x:row r="45">
      <x:c r="A45" s="17" t="n">
        <x:v>38</x:v>
      </x:c>
      <x:c r="B45" s="17" t="str">
        <x:v>Yajie Lu</x:v>
      </x:c>
      <x:c r="C45" s="61" t="str">
        <x:v>陆雅洁</x:v>
      </x:c>
      <x:c r="D45" s="17" t="n">
        <x:v>1</x:v>
      </x:c>
      <x:c r="E45" s="17" t="n">
        <x:v>0</x:v>
      </x:c>
      <x:c r="F45" s="17" t="n">
        <x:v>1</x:v>
      </x:c>
      <x:c r="G45" s="17" t="n">
        <x:v>2</x:v>
      </x:c>
      <x:c r="H45" s="16" t="str">
        <x:v>2017-08-15—2017-08-24｜第5届世界青年公开锦标赛｜U26 Women Teams / Girls Teams｜SHENGXING TEAM 1</x:v>
      </x:c>
      <x:c r="I45" s="16" t="str"/>
      <x:c r="J45" s="16" t="str">
        <x:v>2017-08-15—2017-08-24｜第5届世界青年公开锦标赛｜U26 Women Pairs / Girls Pairs｜Xinyao Ruan – Yajie Lu</x:v>
      </x:c>
    </x:row>
    <x:row r="46">
      <x:c r="A46" s="36" t="n">
        <x:v>38</x:v>
      </x:c>
      <x:c r="B46" s="36" t="str">
        <x:v>Zihan Wang</x:v>
      </x:c>
      <x:c r="C46" s="61" t="str">
        <x:v>王梓晗</x:v>
      </x:c>
      <x:c r="D46" s="36" t="n">
        <x:v>1</x:v>
      </x:c>
      <x:c r="E46" s="36" t="n">
        <x:v>0</x:v>
      </x:c>
      <x:c r="F46" s="36" t="n">
        <x:v>1</x:v>
      </x:c>
      <x:c r="G46" s="36" t="n">
        <x:v>2</x:v>
      </x:c>
      <x:c r="H46" s="35" t="str">
        <x:v>2015-08-20—2015-08-29｜第4届世界青年公开锦标赛｜U21 Teams / Youngsters Teams｜CHINA</x:v>
      </x:c>
      <x:c r="I46" s="35" t="str"/>
      <x:c r="J46" s="35" t="str">
        <x:v>2014-08-13—2014-08-23｜世界青年团体锦标赛｜U16 Teams｜CHINA</x:v>
      </x:c>
    </x:row>
    <x:row r="47">
      <x:c r="A47" s="17" t="n">
        <x:v>43</x:v>
      </x:c>
      <x:c r="B47" s="17" t="str">
        <x:v>Boxin Zhang</x:v>
      </x:c>
      <x:c r="C47" s="61" t="str">
        <x:v>张博信</x:v>
      </x:c>
      <x:c r="D47" s="17" t="n">
        <x:v>1</x:v>
      </x:c>
      <x:c r="E47" s="17" t="n">
        <x:v>0</x:v>
      </x:c>
      <x:c r="F47" s="17" t="n">
        <x:v>0</x:v>
      </x:c>
      <x:c r="G47" s="17" t="n">
        <x:v>1</x:v>
      </x:c>
      <x:c r="H47" s="16" t="str">
        <x:v>2017-08-15—2017-08-24｜第5届世界青年公开锦标赛｜U16 Teams / Kids Teams｜CHINA RDFZ GALAXY</x:v>
      </x:c>
      <x:c r="I47" s="16" t="str"/>
      <x:c r="J47" s="16" t="str"/>
    </x:row>
    <x:row r="48">
      <x:c r="A48" s="36" t="n">
        <x:v>43</x:v>
      </x:c>
      <x:c r="B48" s="36" t="str">
        <x:v>Chengke Hu</x:v>
      </x:c>
      <x:c r="C48" s="61" t="str">
        <x:v>胡承珂</x:v>
      </x:c>
      <x:c r="D48" s="36" t="n">
        <x:v>1</x:v>
      </x:c>
      <x:c r="E48" s="36" t="n">
        <x:v>0</x:v>
      </x:c>
      <x:c r="F48" s="36" t="n">
        <x:v>0</x:v>
      </x:c>
      <x:c r="G48" s="36" t="n">
        <x:v>1</x:v>
      </x:c>
      <x:c r="H48" s="35" t="str">
        <x:v>2018-08-08—2018-08-18｜世界青年团体锦标赛｜U26 Women Teams｜CHINA</x:v>
      </x:c>
      <x:c r="I48" s="35" t="str"/>
      <x:c r="J48" s="35" t="str"/>
    </x:row>
    <x:row r="49">
      <x:c r="A49" s="17" t="n">
        <x:v>43</x:v>
      </x:c>
      <x:c r="B49" s="17" t="str">
        <x:v>Enzong Wu</x:v>
      </x:c>
      <x:c r="C49" s="61" t="str">
        <x:v>吴恩宗</x:v>
      </x:c>
      <x:c r="D49" s="17" t="n">
        <x:v>1</x:v>
      </x:c>
      <x:c r="E49" s="17" t="n">
        <x:v>0</x:v>
      </x:c>
      <x:c r="F49" s="17" t="n">
        <x:v>0</x:v>
      </x:c>
      <x:c r="G49" s="17" t="n">
        <x:v>1</x:v>
      </x:c>
      <x:c r="H49" s="16" t="str">
        <x:v>2026-08-03—2026-08-08｜第9届世界青年跨国锦标赛｜U31 Teams｜AGOOFANS</x:v>
      </x:c>
      <x:c r="I49" s="16" t="str"/>
      <x:c r="J49" s="16" t="str"/>
    </x:row>
    <x:row r="50">
      <x:c r="A50" s="36" t="n">
        <x:v>43</x:v>
      </x:c>
      <x:c r="B50" s="36" t="str">
        <x:v>Fanfei Yu</x:v>
      </x:c>
      <x:c r="C50" s="61" t="str">
        <x:v>于凡非</x:v>
      </x:c>
      <x:c r="D50" s="36" t="n">
        <x:v>1</x:v>
      </x:c>
      <x:c r="E50" s="36" t="n">
        <x:v>0</x:v>
      </x:c>
      <x:c r="F50" s="36" t="n">
        <x:v>0</x:v>
      </x:c>
      <x:c r="G50" s="36" t="n">
        <x:v>1</x:v>
      </x:c>
      <x:c r="H50" s="35" t="str">
        <x:v>2019-08-20—2019-08-29｜第6届世界青年公开锦标赛｜U16 Teams｜SXMARS</x:v>
      </x:c>
      <x:c r="I50" s="35" t="str"/>
      <x:c r="J50" s="35" t="str"/>
    </x:row>
    <x:row r="51">
      <x:c r="A51" s="17" t="n">
        <x:v>43</x:v>
      </x:c>
      <x:c r="B51" s="17" t="str">
        <x:v>Fangchen Zhao</x:v>
      </x:c>
      <x:c r="C51" s="61" t="str">
        <x:v>赵芳宸</x:v>
      </x:c>
      <x:c r="D51" s="17" t="n">
        <x:v>1</x:v>
      </x:c>
      <x:c r="E51" s="17" t="n">
        <x:v>0</x:v>
      </x:c>
      <x:c r="F51" s="17" t="n">
        <x:v>0</x:v>
      </x:c>
      <x:c r="G51" s="17" t="n">
        <x:v>1</x:v>
      </x:c>
      <x:c r="H51" s="16" t="str">
        <x:v>2017-08-15—2017-08-24｜第5届世界青年公开锦标赛｜U16 Teams / Kids Teams｜CHINA RDFZ GALAXY</x:v>
      </x:c>
      <x:c r="I51" s="16" t="str"/>
      <x:c r="J51" s="16" t="str"/>
    </x:row>
    <x:row r="52">
      <x:c r="A52" s="36" t="n">
        <x:v>43</x:v>
      </x:c>
      <x:c r="B52" s="36" t="str">
        <x:v>Haochen Hu</x:v>
      </x:c>
      <x:c r="C52" s="64" t="str">
        <x:v>胡皓宸</x:v>
      </x:c>
      <x:c r="D52" s="36" t="n">
        <x:v>1</x:v>
      </x:c>
      <x:c r="E52" s="36" t="n">
        <x:v>0</x:v>
      </x:c>
      <x:c r="F52" s="36" t="n">
        <x:v>0</x:v>
      </x:c>
      <x:c r="G52" s="36" t="n">
        <x:v>1</x:v>
      </x:c>
      <x:c r="H52" s="35" t="str">
        <x:v>2025-07-12—2025-07-17｜第19届世界青年团体锦标赛｜U16 BAM｜CHINA</x:v>
      </x:c>
      <x:c r="I52" s="35" t="str"/>
      <x:c r="J52" s="35" t="str"/>
    </x:row>
    <x:row r="53">
      <x:c r="A53" s="17" t="n">
        <x:v>43</x:v>
      </x:c>
      <x:c r="B53" s="17" t="str">
        <x:v>Haoran Wang</x:v>
      </x:c>
      <x:c r="C53" s="64" t="str">
        <x:v>王浩然</x:v>
      </x:c>
      <x:c r="D53" s="17" t="n">
        <x:v>1</x:v>
      </x:c>
      <x:c r="E53" s="17" t="n">
        <x:v>0</x:v>
      </x:c>
      <x:c r="F53" s="17" t="n">
        <x:v>0</x:v>
      </x:c>
      <x:c r="G53" s="17" t="n">
        <x:v>1</x:v>
      </x:c>
      <x:c r="H53" s="16" t="str">
        <x:v>2023-07-31—2023-08-07｜第18届世界青年团体锦标赛｜U16 BAM｜CHINA</x:v>
      </x:c>
      <x:c r="I53" s="16" t="str"/>
      <x:c r="J53" s="16" t="str"/>
    </x:row>
    <x:row r="54">
      <x:c r="A54" s="36" t="n">
        <x:v>43</x:v>
      </x:c>
      <x:c r="B54" s="36" t="str">
        <x:v>Haotian Shen</x:v>
      </x:c>
      <x:c r="C54" s="61" t="str">
        <x:v>沈皓天</x:v>
      </x:c>
      <x:c r="D54" s="36" t="n">
        <x:v>1</x:v>
      </x:c>
      <x:c r="E54" s="36" t="n">
        <x:v>0</x:v>
      </x:c>
      <x:c r="F54" s="36" t="n">
        <x:v>0</x:v>
      </x:c>
      <x:c r="G54" s="36" t="n">
        <x:v>1</x:v>
      </x:c>
      <x:c r="H54" s="35" t="str">
        <x:v>2019-08-20—2019-08-29｜第6届世界青年公开锦标赛｜U16 Teams｜SXMARS</x:v>
      </x:c>
      <x:c r="I54" s="35" t="str"/>
      <x:c r="J54" s="35" t="str"/>
    </x:row>
    <x:row r="55">
      <x:c r="A55" s="17" t="n">
        <x:v>43</x:v>
      </x:c>
      <x:c r="B55" s="17" t="str">
        <x:v>Haoxuan Yu</x:v>
      </x:c>
      <x:c r="C55" s="64" t="str">
        <x:v>俞昊轩</x:v>
      </x:c>
      <x:c r="D55" s="17" t="n">
        <x:v>1</x:v>
      </x:c>
      <x:c r="E55" s="17" t="n">
        <x:v>0</x:v>
      </x:c>
      <x:c r="F55" s="17" t="n">
        <x:v>0</x:v>
      </x:c>
      <x:c r="G55" s="17" t="n">
        <x:v>1</x:v>
      </x:c>
      <x:c r="H55" s="16" t="str">
        <x:v>2023-07-31—2023-08-07｜第18届世界青年团体锦标赛｜U16 BAM｜CHINA</x:v>
      </x:c>
      <x:c r="I55" s="16" t="str"/>
      <x:c r="J55" s="16" t="str"/>
    </x:row>
    <x:row r="56">
      <x:c r="A56" s="36" t="n">
        <x:v>43</x:v>
      </x:c>
      <x:c r="B56" s="36" t="str">
        <x:v>Jingfan Chen</x:v>
      </x:c>
      <x:c r="C56" s="61" t="str">
        <x:v>陈竞帆</x:v>
      </x:c>
      <x:c r="D56" s="36" t="n">
        <x:v>1</x:v>
      </x:c>
      <x:c r="E56" s="36" t="n">
        <x:v>0</x:v>
      </x:c>
      <x:c r="F56" s="36" t="n">
        <x:v>0</x:v>
      </x:c>
      <x:c r="G56" s="36" t="n">
        <x:v>1</x:v>
      </x:c>
      <x:c r="H56" s="35" t="str">
        <x:v>2017-08-15—2017-08-24｜第5届世界青年公开锦标赛｜U16 Teams / Kids Teams｜CHINA RDFZ GALAXY</x:v>
      </x:c>
      <x:c r="I56" s="35" t="str"/>
      <x:c r="J56" s="35" t="str"/>
    </x:row>
    <x:row r="57">
      <x:c r="A57" s="17" t="n">
        <x:v>43</x:v>
      </x:c>
      <x:c r="B57" s="17" t="str">
        <x:v>Lepeng Shen</x:v>
      </x:c>
      <x:c r="C57" s="64" t="str">
        <x:v>沈乐鹏</x:v>
      </x:c>
      <x:c r="D57" s="17" t="n">
        <x:v>1</x:v>
      </x:c>
      <x:c r="E57" s="17" t="n">
        <x:v>0</x:v>
      </x:c>
      <x:c r="F57" s="17" t="n">
        <x:v>0</x:v>
      </x:c>
      <x:c r="G57" s="17" t="n">
        <x:v>1</x:v>
      </x:c>
      <x:c r="H57" s="16" t="str">
        <x:v>2026-08-03—2026-08-08｜第9届世界青年跨国锦标赛｜U16 Pairs｜Lepeng Shen – Xiao Xu</x:v>
      </x:c>
      <x:c r="I57" s="16" t="str"/>
      <x:c r="J57" s="16" t="str"/>
    </x:row>
    <x:row r="58">
      <x:c r="A58" s="36" t="n">
        <x:v>43</x:v>
      </x:c>
      <x:c r="B58" s="36" t="str">
        <x:v>Ningyu Lang</x:v>
      </x:c>
      <x:c r="C58" s="61" t="str">
        <x:v>郎宁宇</x:v>
      </x:c>
      <x:c r="D58" s="36" t="n">
        <x:v>1</x:v>
      </x:c>
      <x:c r="E58" s="36" t="n">
        <x:v>0</x:v>
      </x:c>
      <x:c r="F58" s="36" t="n">
        <x:v>0</x:v>
      </x:c>
      <x:c r="G58" s="36" t="n">
        <x:v>1</x:v>
      </x:c>
      <x:c r="H58" s="35" t="str">
        <x:v>2019-08-20—2019-08-29｜第6届世界青年公开锦标赛｜U16 Teams｜SXMARS</x:v>
      </x:c>
      <x:c r="I58" s="35" t="str"/>
      <x:c r="J58" s="35" t="str"/>
    </x:row>
    <x:row r="59">
      <x:c r="A59" s="17" t="n">
        <x:v>43</x:v>
      </x:c>
      <x:c r="B59" s="17" t="str">
        <x:v>Pengqiao Qu</x:v>
      </x:c>
      <x:c r="C59" s="61" t="str">
        <x:v>曲鹏桥</x:v>
      </x:c>
      <x:c r="D59" s="17" t="n">
        <x:v>1</x:v>
      </x:c>
      <x:c r="E59" s="17" t="n">
        <x:v>0</x:v>
      </x:c>
      <x:c r="F59" s="17" t="n">
        <x:v>0</x:v>
      </x:c>
      <x:c r="G59" s="17" t="n">
        <x:v>1</x:v>
      </x:c>
      <x:c r="H59" s="16" t="str">
        <x:v>2026-08-03—2026-08-08｜第9届世界青年跨国锦标赛｜U31 Teams｜AGOOFANS</x:v>
      </x:c>
      <x:c r="I59" s="16" t="str"/>
      <x:c r="J59" s="16" t="str"/>
    </x:row>
    <x:row r="60">
      <x:c r="A60" s="36" t="n">
        <x:v>43</x:v>
      </x:c>
      <x:c r="B60" s="36" t="str">
        <x:v>Renyu Li</x:v>
      </x:c>
      <x:c r="C60" s="61" t="str">
        <x:v>李仁宇</x:v>
      </x:c>
      <x:c r="D60" s="36" t="n">
        <x:v>1</x:v>
      </x:c>
      <x:c r="E60" s="36" t="n">
        <x:v>0</x:v>
      </x:c>
      <x:c r="F60" s="36" t="n">
        <x:v>0</x:v>
      </x:c>
      <x:c r="G60" s="36" t="n">
        <x:v>1</x:v>
      </x:c>
      <x:c r="H60" s="35" t="str">
        <x:v>2015-08-20—2015-08-29｜第4届世界青年公开锦标赛｜U16 Teams / Kids Teams｜SX HYSW</x:v>
      </x:c>
      <x:c r="I60" s="35" t="str"/>
      <x:c r="J60" s="35" t="str"/>
    </x:row>
    <x:row r="61">
      <x:c r="A61" s="17" t="n">
        <x:v>43</x:v>
      </x:c>
      <x:c r="B61" s="17" t="str">
        <x:v>Shaolin Sun</x:v>
      </x:c>
      <x:c r="C61" s="61" t="str">
        <x:v>孙少林</x:v>
      </x:c>
      <x:c r="D61" s="17" t="n">
        <x:v>1</x:v>
      </x:c>
      <x:c r="E61" s="17" t="n">
        <x:v>0</x:v>
      </x:c>
      <x:c r="F61" s="17" t="n">
        <x:v>0</x:v>
      </x:c>
      <x:c r="G61" s="17" t="n">
        <x:v>1</x:v>
      </x:c>
      <x:c r="H61" s="16" t="str">
        <x:v>2019-09｜世界桥牌团体锦标赛｜Transnational Open Teams 跨国公开团体｜CHINA</x:v>
      </x:c>
      <x:c r="I61" s="16" t="str"/>
      <x:c r="J61" s="16" t="str"/>
    </x:row>
    <x:row r="62">
      <x:c r="A62" s="36" t="n">
        <x:v>43</x:v>
      </x:c>
      <x:c r="B62" s="36" t="str">
        <x:v>Shengle Zhang</x:v>
      </x:c>
      <x:c r="C62" s="61" t="str">
        <x:v>张胜乐</x:v>
      </x:c>
      <x:c r="D62" s="36" t="n">
        <x:v>1</x:v>
      </x:c>
      <x:c r="E62" s="36" t="n">
        <x:v>0</x:v>
      </x:c>
      <x:c r="F62" s="36" t="n">
        <x:v>0</x:v>
      </x:c>
      <x:c r="G62" s="36" t="n">
        <x:v>1</x:v>
      </x:c>
      <x:c r="H62" s="35" t="str">
        <x:v>2019-09｜世界桥牌团体锦标赛｜Transnational Open Teams 跨国公开团体｜CHINA</x:v>
      </x:c>
      <x:c r="I62" s="35" t="str"/>
      <x:c r="J62" s="35" t="str"/>
    </x:row>
    <x:row r="63">
      <x:c r="A63" s="17" t="n">
        <x:v>43</x:v>
      </x:c>
      <x:c r="B63" s="17" t="str">
        <x:v>Shu Liu</x:v>
      </x:c>
      <x:c r="C63" s="61" t="str">
        <x:v>刘姝</x:v>
      </x:c>
      <x:c r="D63" s="17" t="n">
        <x:v>1</x:v>
      </x:c>
      <x:c r="E63" s="17" t="n">
        <x:v>0</x:v>
      </x:c>
      <x:c r="F63" s="17" t="n">
        <x:v>0</x:v>
      </x:c>
      <x:c r="G63" s="17" t="n">
        <x:v>1</x:v>
      </x:c>
      <x:c r="H63" s="16" t="str">
        <x:v>2014-10｜世界桥牌综合锦标赛｜Women Pairs 女子双人｜Tao Zhou – Shu Liu</x:v>
      </x:c>
      <x:c r="I63" s="16" t="str"/>
      <x:c r="J63" s="16" t="str"/>
    </x:row>
    <x:row r="64">
      <x:c r="A64" s="36" t="n">
        <x:v>43</x:v>
      </x:c>
      <x:c r="B64" s="36" t="str">
        <x:v>Sicheng Liu</x:v>
      </x:c>
      <x:c r="C64" s="61" t="str">
        <x:v>刘思成</x:v>
      </x:c>
      <x:c r="D64" s="36" t="n">
        <x:v>1</x:v>
      </x:c>
      <x:c r="E64" s="36" t="n">
        <x:v>0</x:v>
      </x:c>
      <x:c r="F64" s="36" t="n">
        <x:v>0</x:v>
      </x:c>
      <x:c r="G64" s="36" t="n">
        <x:v>1</x:v>
      </x:c>
      <x:c r="H64" s="35" t="str">
        <x:v>2018-08-08—2018-08-18｜世界青年团体锦标赛｜U16 Teams｜CHINA3</x:v>
      </x:c>
      <x:c r="I64" s="35" t="str"/>
      <x:c r="J64" s="35" t="str"/>
    </x:row>
    <x:row r="65">
      <x:c r="A65" s="17" t="n">
        <x:v>43</x:v>
      </x:c>
      <x:c r="B65" s="17" t="str">
        <x:v>Sirui Chen</x:v>
      </x:c>
      <x:c r="C65" s="64" t="str">
        <x:v>陈思睿</x:v>
      </x:c>
      <x:c r="D65" s="17" t="n">
        <x:v>1</x:v>
      </x:c>
      <x:c r="E65" s="17" t="n">
        <x:v>0</x:v>
      </x:c>
      <x:c r="F65" s="17" t="n">
        <x:v>0</x:v>
      </x:c>
      <x:c r="G65" s="17" t="n">
        <x:v>1</x:v>
      </x:c>
      <x:c r="H65" s="16" t="str">
        <x:v>2023-07-31—2023-08-07｜第18届世界青年团体锦标赛｜U16 BAM｜CHINA</x:v>
      </x:c>
      <x:c r="I65" s="16" t="str"/>
      <x:c r="J65" s="16" t="str"/>
    </x:row>
    <x:row r="66">
      <x:c r="A66" s="36" t="n">
        <x:v>43</x:v>
      </x:c>
      <x:c r="B66" s="36" t="str">
        <x:v>Siyuan Liu</x:v>
      </x:c>
      <x:c r="C66" s="61" t="str">
        <x:v>刘思远</x:v>
      </x:c>
      <x:c r="D66" s="36" t="n">
        <x:v>1</x:v>
      </x:c>
      <x:c r="E66" s="36" t="n">
        <x:v>0</x:v>
      </x:c>
      <x:c r="F66" s="36" t="n">
        <x:v>0</x:v>
      </x:c>
      <x:c r="G66" s="36" t="n">
        <x:v>1</x:v>
      </x:c>
      <x:c r="H66" s="35" t="str">
        <x:v>2015-08-20—2015-08-29｜第4届世界青年公开锦标赛｜U16 Teams / Kids Teams｜SX HYSW</x:v>
      </x:c>
      <x:c r="I66" s="35" t="str"/>
      <x:c r="J66" s="35" t="str"/>
    </x:row>
    <x:row r="67">
      <x:c r="A67" s="17" t="n">
        <x:v>43</x:v>
      </x:c>
      <x:c r="B67" s="17" t="str">
        <x:v>Sun Yanhui</x:v>
      </x:c>
      <x:c r="C67" s="61" t="str">
        <x:v>孙燕慧</x:v>
      </x:c>
      <x:c r="D67" s="17" t="n">
        <x:v>1</x:v>
      </x:c>
      <x:c r="E67" s="17" t="n">
        <x:v>0</x:v>
      </x:c>
      <x:c r="F67" s="17" t="n">
        <x:v>0</x:v>
      </x:c>
      <x:c r="G67" s="17" t="n">
        <x:v>1</x:v>
      </x:c>
      <x:c r="H67" s="16" t="str">
        <x:v>2010-10｜世界桥牌综合锦标赛｜McConnell Cup 女子淘汰团体｜CHINA LADIES TEAM</x:v>
      </x:c>
      <x:c r="I67" s="16" t="str"/>
      <x:c r="J67" s="16" t="str"/>
    </x:row>
    <x:row r="68">
      <x:c r="A68" s="36" t="n">
        <x:v>43</x:v>
      </x:c>
      <x:c r="B68" s="36" t="str">
        <x:v>Tie Chen</x:v>
      </x:c>
      <x:c r="C68" s="61" t="str">
        <x:v>陈铁</x:v>
      </x:c>
      <x:c r="D68" s="36" t="n">
        <x:v>1</x:v>
      </x:c>
      <x:c r="E68" s="36" t="n">
        <x:v>0</x:v>
      </x:c>
      <x:c r="F68" s="36" t="n">
        <x:v>0</x:v>
      </x:c>
      <x:c r="G68" s="36" t="n">
        <x:v>1</x:v>
      </x:c>
      <x:c r="H68" s="35" t="str">
        <x:v>2018-08-08—2018-08-18｜世界青年团体锦标赛｜U16 Teams｜CHINA3</x:v>
      </x:c>
      <x:c r="I68" s="35" t="str"/>
      <x:c r="J68" s="35" t="str"/>
    </x:row>
    <x:row r="69">
      <x:c r="A69" s="17" t="n">
        <x:v>43</x:v>
      </x:c>
      <x:c r="B69" s="17" t="str">
        <x:v>Wanyi Lian</x:v>
      </x:c>
      <x:c r="C69" s="61" t="str">
        <x:v>连婉仪</x:v>
      </x:c>
      <x:c r="D69" s="17" t="n">
        <x:v>1</x:v>
      </x:c>
      <x:c r="E69" s="17" t="n">
        <x:v>0</x:v>
      </x:c>
      <x:c r="F69" s="17" t="n">
        <x:v>0</x:v>
      </x:c>
      <x:c r="G69" s="17" t="n">
        <x:v>1</x:v>
      </x:c>
      <x:c r="H69" s="16" t="str">
        <x:v>2026-08-03—2026-08-08｜第9届世界青年跨国锦标赛｜U26 Women Pairs｜Wenjing Chen – Wanyi Lian</x:v>
      </x:c>
      <x:c r="I69" s="16" t="str"/>
      <x:c r="J69" s="16" t="str"/>
    </x:row>
    <x:row r="70">
      <x:c r="A70" s="36" t="n">
        <x:v>43</x:v>
      </x:c>
      <x:c r="B70" s="36" t="str">
        <x:v>Wei Wang</x:v>
      </x:c>
      <x:c r="C70" s="61" t="str">
        <x:v>王未</x:v>
      </x:c>
      <x:c r="D70" s="36" t="n">
        <x:v>1</x:v>
      </x:c>
      <x:c r="E70" s="36" t="n">
        <x:v>0</x:v>
      </x:c>
      <x:c r="F70" s="36" t="n">
        <x:v>0</x:v>
      </x:c>
      <x:c r="G70" s="36" t="n">
        <x:v>1</x:v>
      </x:c>
      <x:c r="H70" s="35" t="str">
        <x:v>2026-08-03—2026-08-08｜第9届世界青年跨国锦标赛｜U31 Teams｜AGOOFANS</x:v>
      </x:c>
      <x:c r="I70" s="35" t="str"/>
      <x:c r="J70" s="35" t="str"/>
    </x:row>
    <x:row r="71">
      <x:c r="A71" s="17" t="n">
        <x:v>43</x:v>
      </x:c>
      <x:c r="B71" s="17" t="str">
        <x:v>Wenjing Chen</x:v>
      </x:c>
      <x:c r="C71" s="61" t="str">
        <x:v>陈文静</x:v>
      </x:c>
      <x:c r="D71" s="17" t="n">
        <x:v>1</x:v>
      </x:c>
      <x:c r="E71" s="17" t="n">
        <x:v>0</x:v>
      </x:c>
      <x:c r="F71" s="17" t="n">
        <x:v>0</x:v>
      </x:c>
      <x:c r="G71" s="17" t="n">
        <x:v>1</x:v>
      </x:c>
      <x:c r="H71" s="16" t="str">
        <x:v>2026-08-03—2026-08-08｜第9届世界青年跨国锦标赛｜U26 Women Pairs｜Wenjing Chen – Wanyi Lian</x:v>
      </x:c>
      <x:c r="I71" s="16" t="str"/>
      <x:c r="J71" s="16" t="str"/>
    </x:row>
    <x:row r="72">
      <x:c r="A72" s="36" t="n">
        <x:v>43</x:v>
      </x:c>
      <x:c r="B72" s="36" t="str">
        <x:v>Xiao Xu</x:v>
      </x:c>
      <x:c r="C72" s="64" t="str">
        <x:v>徐潇</x:v>
      </x:c>
      <x:c r="D72" s="36" t="n">
        <x:v>1</x:v>
      </x:c>
      <x:c r="E72" s="36" t="n">
        <x:v>0</x:v>
      </x:c>
      <x:c r="F72" s="36" t="n">
        <x:v>0</x:v>
      </x:c>
      <x:c r="G72" s="36" t="n">
        <x:v>1</x:v>
      </x:c>
      <x:c r="H72" s="35" t="str">
        <x:v>2026-08-03—2026-08-08｜第9届世界青年跨国锦标赛｜U16 Pairs｜Lepeng Shen – Xiao Xu</x:v>
      </x:c>
      <x:c r="I72" s="35" t="str"/>
      <x:c r="J72" s="35" t="str"/>
    </x:row>
    <x:row r="73">
      <x:c r="A73" s="17" t="n">
        <x:v>43</x:v>
      </x:c>
      <x:c r="B73" s="17" t="str">
        <x:v>Xiaoguang Yu</x:v>
      </x:c>
      <x:c r="C73" s="61" t="str">
        <x:v>喻小广</x:v>
      </x:c>
      <x:c r="D73" s="17" t="n">
        <x:v>1</x:v>
      </x:c>
      <x:c r="E73" s="17" t="n">
        <x:v>0</x:v>
      </x:c>
      <x:c r="F73" s="17" t="n">
        <x:v>0</x:v>
      </x:c>
      <x:c r="G73" s="17" t="n">
        <x:v>1</x:v>
      </x:c>
      <x:c r="H73" s="16" t="str">
        <x:v>2019-09｜世界桥牌团体锦标赛｜Transnational Open Teams 跨国公开团体｜CHINA</x:v>
      </x:c>
      <x:c r="I73" s="16" t="str"/>
      <x:c r="J73" s="16" t="str"/>
    </x:row>
    <x:row r="74">
      <x:c r="A74" s="36" t="n">
        <x:v>43</x:v>
      </x:c>
      <x:c r="B74" s="36" t="str">
        <x:v>Xihong Dai</x:v>
      </x:c>
      <x:c r="C74" s="61" t="str">
        <x:v>戴熙宏</x:v>
      </x:c>
      <x:c r="D74" s="36" t="n">
        <x:v>1</x:v>
      </x:c>
      <x:c r="E74" s="36" t="n">
        <x:v>0</x:v>
      </x:c>
      <x:c r="F74" s="36" t="n">
        <x:v>0</x:v>
      </x:c>
      <x:c r="G74" s="36" t="n">
        <x:v>1</x:v>
      </x:c>
      <x:c r="H74" s="35" t="str">
        <x:v>2018-08-08—2018-08-18｜世界青年团体锦标赛｜U16 Teams｜CHINA3</x:v>
      </x:c>
      <x:c r="I74" s="35" t="str"/>
      <x:c r="J74" s="35" t="str"/>
    </x:row>
    <x:row r="75">
      <x:c r="A75" s="17" t="n">
        <x:v>43</x:v>
      </x:c>
      <x:c r="B75" s="17" t="str">
        <x:v>Xinyi Ni</x:v>
      </x:c>
      <x:c r="C75" s="61" t="str">
        <x:v>倪馨仪</x:v>
      </x:c>
      <x:c r="D75" s="17" t="n">
        <x:v>1</x:v>
      </x:c>
      <x:c r="E75" s="17" t="n">
        <x:v>0</x:v>
      </x:c>
      <x:c r="F75" s="17" t="n">
        <x:v>0</x:v>
      </x:c>
      <x:c r="G75" s="17" t="n">
        <x:v>1</x:v>
      </x:c>
      <x:c r="H75" s="16" t="str">
        <x:v>2018-08-08—2018-08-18｜世界青年团体锦标赛｜U26 Women Teams｜CHINA</x:v>
      </x:c>
      <x:c r="I75" s="16" t="str"/>
      <x:c r="J75" s="16" t="str"/>
    </x:row>
    <x:row r="76">
      <x:c r="A76" s="36" t="n">
        <x:v>43</x:v>
      </x:c>
      <x:c r="B76" s="36" t="str">
        <x:v>Xuanting He</x:v>
      </x:c>
      <x:c r="C76" s="61" t="str">
        <x:v>何轩霆</x:v>
      </x:c>
      <x:c r="D76" s="36" t="n">
        <x:v>1</x:v>
      </x:c>
      <x:c r="E76" s="36" t="n">
        <x:v>0</x:v>
      </x:c>
      <x:c r="F76" s="36" t="n">
        <x:v>0</x:v>
      </x:c>
      <x:c r="G76" s="36" t="n">
        <x:v>1</x:v>
      </x:c>
      <x:c r="H76" s="35" t="str">
        <x:v>2026-08-03—2026-08-08｜第9届世界青年跨国锦标赛｜U31 Teams｜AGOOFANS</x:v>
      </x:c>
      <x:c r="I76" s="35" t="str"/>
      <x:c r="J76" s="35" t="str"/>
    </x:row>
    <x:row r="77">
      <x:c r="A77" s="17" t="n">
        <x:v>43</x:v>
      </x:c>
      <x:c r="B77" s="17" t="str">
        <x:v>Xuchen Tang</x:v>
      </x:c>
      <x:c r="C77" s="64" t="str">
        <x:v>唐旭宸</x:v>
      </x:c>
      <x:c r="D77" s="17" t="n">
        <x:v>1</x:v>
      </x:c>
      <x:c r="E77" s="17" t="n">
        <x:v>0</x:v>
      </x:c>
      <x:c r="F77" s="17" t="n">
        <x:v>0</x:v>
      </x:c>
      <x:c r="G77" s="17" t="n">
        <x:v>1</x:v>
      </x:c>
      <x:c r="H77" s="16" t="str">
        <x:v>2023-07-31—2023-08-07｜第18届世界青年团体锦标赛｜U16 BAM｜CHINA</x:v>
      </x:c>
      <x:c r="I77" s="16" t="str"/>
      <x:c r="J77" s="16" t="str"/>
    </x:row>
    <x:row r="78">
      <x:c r="A78" s="36" t="n">
        <x:v>43</x:v>
      </x:c>
      <x:c r="B78" s="36" t="str">
        <x:v>Xuefeng Feng</x:v>
      </x:c>
      <x:c r="C78" s="61" t="str">
        <x:v>冯学凤</x:v>
      </x:c>
      <x:c r="D78" s="36" t="n">
        <x:v>1</x:v>
      </x:c>
      <x:c r="E78" s="36" t="n">
        <x:v>0</x:v>
      </x:c>
      <x:c r="F78" s="36" t="n">
        <x:v>0</x:v>
      </x:c>
      <x:c r="G78" s="36" t="n">
        <x:v>1</x:v>
      </x:c>
      <x:c r="H78" s="35" t="str">
        <x:v>2010-10｜世界桥牌综合锦标赛｜McConnell Cup 女子淘汰团体｜CHINA LADIES TEAM</x:v>
      </x:c>
      <x:c r="I78" s="35" t="str"/>
      <x:c r="J78" s="35" t="str"/>
    </x:row>
    <x:row r="79">
      <x:c r="A79" s="17" t="n">
        <x:v>43</x:v>
      </x:c>
      <x:c r="B79" s="17" t="str">
        <x:v>Xuze Xu</x:v>
      </x:c>
      <x:c r="C79" s="64" t="str">
        <x:v>徐旭泽</x:v>
      </x:c>
      <x:c r="D79" s="17" t="n">
        <x:v>1</x:v>
      </x:c>
      <x:c r="E79" s="17" t="n">
        <x:v>0</x:v>
      </x:c>
      <x:c r="F79" s="17" t="n">
        <x:v>0</x:v>
      </x:c>
      <x:c r="G79" s="17" t="n">
        <x:v>1</x:v>
      </x:c>
      <x:c r="H79" s="16" t="str">
        <x:v>2026-08-03—2026-08-08｜第9届世界青年跨国锦标赛｜U16 Teams｜NT TTAOQI</x:v>
      </x:c>
      <x:c r="I79" s="16" t="str"/>
      <x:c r="J79" s="16" t="str"/>
    </x:row>
    <x:row r="80">
      <x:c r="A80" s="36" t="n">
        <x:v>43</x:v>
      </x:c>
      <x:c r="B80" s="36" t="str">
        <x:v>Yang Yang</x:v>
      </x:c>
      <x:c r="C80" s="61" t="str">
        <x:v>杨扬</x:v>
      </x:c>
      <x:c r="D80" s="36" t="n">
        <x:v>1</x:v>
      </x:c>
      <x:c r="E80" s="36" t="n">
        <x:v>0</x:v>
      </x:c>
      <x:c r="F80" s="36" t="n">
        <x:v>0</x:v>
      </x:c>
      <x:c r="G80" s="36" t="n">
        <x:v>1</x:v>
      </x:c>
      <x:c r="H80" s="35" t="str">
        <x:v>2018-08-08—2018-08-18｜世界青年团体锦标赛｜U26 Women Teams｜CHINA</x:v>
      </x:c>
      <x:c r="I80" s="35" t="str"/>
      <x:c r="J80" s="35" t="str"/>
    </x:row>
    <x:row r="81">
      <x:c r="A81" s="17" t="n">
        <x:v>43</x:v>
      </x:c>
      <x:c r="B81" s="17" t="str">
        <x:v>Yanhua Hu</x:v>
      </x:c>
      <x:c r="C81" s="64" t="str">
        <x:v>胡彦华</x:v>
      </x:c>
      <x:c r="D81" s="17" t="n">
        <x:v>1</x:v>
      </x:c>
      <x:c r="E81" s="17" t="n">
        <x:v>0</x:v>
      </x:c>
      <x:c r="F81" s="17" t="n">
        <x:v>0</x:v>
      </x:c>
      <x:c r="G81" s="17" t="n">
        <x:v>1</x:v>
      </x:c>
      <x:c r="H81" s="16" t="str">
        <x:v>2026-08-03—2026-08-08｜第9届世界青年跨国锦标赛｜U16 Teams｜NT TTAOQI</x:v>
      </x:c>
      <x:c r="I81" s="16" t="str"/>
      <x:c r="J81" s="16" t="str"/>
    </x:row>
    <x:row r="82">
      <x:c r="A82" s="36" t="n">
        <x:v>43</x:v>
      </x:c>
      <x:c r="B82" s="36" t="str">
        <x:v>Yanjia Hu</x:v>
      </x:c>
      <x:c r="C82" s="64" t="str">
        <x:v>胡彦嘉</x:v>
      </x:c>
      <x:c r="D82" s="36" t="n">
        <x:v>1</x:v>
      </x:c>
      <x:c r="E82" s="36" t="n">
        <x:v>0</x:v>
      </x:c>
      <x:c r="F82" s="36" t="n">
        <x:v>0</x:v>
      </x:c>
      <x:c r="G82" s="36" t="n">
        <x:v>1</x:v>
      </x:c>
      <x:c r="H82" s="35" t="str">
        <x:v>2026-08-03—2026-08-08｜第9届世界青年跨国锦标赛｜U16 Teams｜NT TTAOQI</x:v>
      </x:c>
      <x:c r="I82" s="35" t="str"/>
      <x:c r="J82" s="35" t="str"/>
    </x:row>
    <x:row r="83">
      <x:c r="A83" s="17" t="n">
        <x:v>43</x:v>
      </x:c>
      <x:c r="B83" s="17" t="str">
        <x:v>Yanzhuo Fu</x:v>
      </x:c>
      <x:c r="C83" s="61" t="str">
        <x:v>傅彦卓</x:v>
      </x:c>
      <x:c r="D83" s="17" t="n">
        <x:v>1</x:v>
      </x:c>
      <x:c r="E83" s="17" t="n">
        <x:v>0</x:v>
      </x:c>
      <x:c r="F83" s="17" t="n">
        <x:v>0</x:v>
      </x:c>
      <x:c r="G83" s="17" t="n">
        <x:v>1</x:v>
      </x:c>
      <x:c r="H83" s="16" t="str">
        <x:v>2019-08-20—2019-08-29｜第6届世界青年公开锦标赛｜U16 Teams｜SXMARS</x:v>
      </x:c>
      <x:c r="I83" s="16" t="str"/>
      <x:c r="J83" s="16" t="str"/>
    </x:row>
    <x:row r="84">
      <x:c r="A84" s="36" t="n">
        <x:v>43</x:v>
      </x:c>
      <x:c r="B84" s="36" t="str">
        <x:v>Yichen Luo</x:v>
      </x:c>
      <x:c r="C84" s="64" t="str">
        <x:v>罗奕辰</x:v>
      </x:c>
      <x:c r="D84" s="36" t="n">
        <x:v>1</x:v>
      </x:c>
      <x:c r="E84" s="36" t="n">
        <x:v>0</x:v>
      </x:c>
      <x:c r="F84" s="36" t="n">
        <x:v>0</x:v>
      </x:c>
      <x:c r="G84" s="36" t="n">
        <x:v>1</x:v>
      </x:c>
      <x:c r="H84" s="35" t="str">
        <x:v>2026-08-03—2026-08-08｜第9届世界青年跨国锦标赛｜U16 Teams｜NT TTAOQI</x:v>
      </x:c>
      <x:c r="I84" s="35" t="str"/>
      <x:c r="J84" s="35" t="str"/>
    </x:row>
    <x:row r="85">
      <x:c r="A85" s="17" t="n">
        <x:v>43</x:v>
      </x:c>
      <x:c r="B85" s="17" t="str">
        <x:v>Yide Luo</x:v>
      </x:c>
      <x:c r="C85" s="67" t="str">
        <x:v>罗以德</x:v>
      </x:c>
      <x:c r="D85" s="17" t="n">
        <x:v>1</x:v>
      </x:c>
      <x:c r="E85" s="17" t="n">
        <x:v>0</x:v>
      </x:c>
      <x:c r="F85" s="17" t="n">
        <x:v>0</x:v>
      </x:c>
      <x:c r="G85" s="17" t="n">
        <x:v>1</x:v>
      </x:c>
      <x:c r="H85" s="16" t="str">
        <x:v>2019-09｜世界桥牌团体锦标赛｜Transnational Open Teams 跨国公开团体｜CHINA</x:v>
      </x:c>
      <x:c r="I85" s="16" t="str"/>
      <x:c r="J85" s="16" t="str"/>
    </x:row>
    <x:row r="86">
      <x:c r="A86" s="36" t="n">
        <x:v>43</x:v>
      </x:c>
      <x:c r="B86" s="36" t="str">
        <x:v>Yijing Cai</x:v>
      </x:c>
      <x:c r="C86" s="61" t="str">
        <x:v>蔡祎婧</x:v>
      </x:c>
      <x:c r="D86" s="36" t="n">
        <x:v>1</x:v>
      </x:c>
      <x:c r="E86" s="36" t="n">
        <x:v>0</x:v>
      </x:c>
      <x:c r="F86" s="36" t="n">
        <x:v>0</x:v>
      </x:c>
      <x:c r="G86" s="36" t="n">
        <x:v>1</x:v>
      </x:c>
      <x:c r="H86" s="35" t="str">
        <x:v>2018-08-08—2018-08-18｜世界青年团体锦标赛｜U26 Women Teams｜CHINA</x:v>
      </x:c>
      <x:c r="I86" s="35" t="str"/>
      <x:c r="J86" s="35" t="str"/>
    </x:row>
    <x:row r="87">
      <x:c r="A87" s="17" t="n">
        <x:v>43</x:v>
      </x:c>
      <x:c r="B87" s="17" t="str">
        <x:v>Yijun Shang</x:v>
      </x:c>
      <x:c r="C87" s="61" t="str">
        <x:v>尚一骏</x:v>
      </x:c>
      <x:c r="D87" s="17" t="n">
        <x:v>1</x:v>
      </x:c>
      <x:c r="E87" s="17" t="n">
        <x:v>0</x:v>
      </x:c>
      <x:c r="F87" s="17" t="n">
        <x:v>0</x:v>
      </x:c>
      <x:c r="G87" s="17" t="n">
        <x:v>1</x:v>
      </x:c>
      <x:c r="H87" s="16" t="str">
        <x:v>2015-08-20—2015-08-29｜第4届世界青年公开锦标赛｜U16 Teams / Kids Teams｜SX HYSW</x:v>
      </x:c>
      <x:c r="I87" s="16" t="str"/>
      <x:c r="J87" s="16" t="str"/>
    </x:row>
    <x:row r="88">
      <x:c r="A88" s="36" t="n">
        <x:v>43</x:v>
      </x:c>
      <x:c r="B88" s="36" t="str">
        <x:v>Yiping Lu</x:v>
      </x:c>
      <x:c r="C88" s="61" t="str">
        <x:v>陆易平</x:v>
      </x:c>
      <x:c r="D88" s="36" t="n">
        <x:v>1</x:v>
      </x:c>
      <x:c r="E88" s="36" t="n">
        <x:v>0</x:v>
      </x:c>
      <x:c r="F88" s="36" t="n">
        <x:v>0</x:v>
      </x:c>
      <x:c r="G88" s="36" t="n">
        <x:v>1</x:v>
      </x:c>
      <x:c r="H88" s="35" t="str">
        <x:v>2018-08-08—2018-08-18｜世界青年团体锦标赛｜U16 Teams｜CHINA3</x:v>
      </x:c>
      <x:c r="I88" s="35" t="str"/>
      <x:c r="J88" s="35" t="str"/>
    </x:row>
    <x:row r="89">
      <x:c r="A89" s="17" t="n">
        <x:v>43</x:v>
      </x:c>
      <x:c r="B89" s="17" t="str">
        <x:v>Yiqin Shao</x:v>
      </x:c>
      <x:c r="C89" s="61" t="str">
        <x:v>邵易勤</x:v>
      </x:c>
      <x:c r="D89" s="17" t="n">
        <x:v>1</x:v>
      </x:c>
      <x:c r="E89" s="17" t="n">
        <x:v>0</x:v>
      </x:c>
      <x:c r="F89" s="17" t="n">
        <x:v>0</x:v>
      </x:c>
      <x:c r="G89" s="17" t="n">
        <x:v>1</x:v>
      </x:c>
      <x:c r="H89" s="16" t="str">
        <x:v>2015-08-20—2015-08-29｜第4届世界青年公开锦标赛｜U16 Teams / Kids Teams｜SX HYSW</x:v>
      </x:c>
      <x:c r="I89" s="16" t="str"/>
      <x:c r="J89" s="16" t="str"/>
    </x:row>
    <x:row r="90">
      <x:c r="A90" s="36" t="n">
        <x:v>43</x:v>
      </x:c>
      <x:c r="B90" s="36" t="str">
        <x:v>Yong Chen</x:v>
      </x:c>
      <x:c r="C90" s="61" t="str">
        <x:v>陈勇</x:v>
      </x:c>
      <x:c r="D90" s="36" t="n">
        <x:v>1</x:v>
      </x:c>
      <x:c r="E90" s="36" t="n">
        <x:v>0</x:v>
      </x:c>
      <x:c r="F90" s="36" t="n">
        <x:v>0</x:v>
      </x:c>
      <x:c r="G90" s="36" t="n">
        <x:v>1</x:v>
      </x:c>
      <x:c r="H90" s="35" t="str">
        <x:v>2019-09｜世界桥牌团体锦标赛｜Transnational Open Teams 跨国公开团体｜CHINA</x:v>
      </x:c>
      <x:c r="I90" s="35" t="str"/>
      <x:c r="J90" s="35" t="str"/>
    </x:row>
    <x:row r="91">
      <x:c r="A91" s="17" t="n">
        <x:v>43</x:v>
      </x:c>
      <x:c r="B91" s="17" t="str">
        <x:v>Yong Lian</x:v>
      </x:c>
      <x:c r="C91" s="61" t="str">
        <x:v>连勇</x:v>
      </x:c>
      <x:c r="D91" s="17" t="n">
        <x:v>1</x:v>
      </x:c>
      <x:c r="E91" s="17" t="n">
        <x:v>0</x:v>
      </x:c>
      <x:c r="F91" s="17" t="n">
        <x:v>0</x:v>
      </x:c>
      <x:c r="G91" s="17" t="n">
        <x:v>1</x:v>
      </x:c>
      <x:c r="H91" s="16" t="str">
        <x:v>2019-09｜世界桥牌团体锦标赛｜Transnational Open Teams 跨国公开团体｜CHINA</x:v>
      </x:c>
      <x:c r="I91" s="16" t="str"/>
      <x:c r="J91" s="16" t="str"/>
    </x:row>
    <x:row r="92">
      <x:c r="A92" s="36" t="n">
        <x:v>43</x:v>
      </x:c>
      <x:c r="B92" s="36" t="str">
        <x:v>Yongling Dong</x:v>
      </x:c>
      <x:c r="C92" s="61" t="str">
        <x:v>董永灵</x:v>
      </x:c>
      <x:c r="D92" s="36" t="n">
        <x:v>1</x:v>
      </x:c>
      <x:c r="E92" s="36" t="n">
        <x:v>0</x:v>
      </x:c>
      <x:c r="F92" s="36" t="n">
        <x:v>0</x:v>
      </x:c>
      <x:c r="G92" s="36" t="n">
        <x:v>1</x:v>
      </x:c>
      <x:c r="H92" s="35" t="str">
        <x:v>2009-08-29—2009-09-12｜世界桥牌团体锦标赛｜Venice Cup 女子团体｜CHINA LONG ZHU</x:v>
      </x:c>
      <x:c r="I92" s="35" t="str"/>
      <x:c r="J92" s="35" t="str"/>
    </x:row>
    <x:row r="93">
      <x:c r="A93" s="17" t="n">
        <x:v>43</x:v>
      </x:c>
      <x:c r="B93" s="17" t="str">
        <x:v>Yuanzhe Niu</x:v>
      </x:c>
      <x:c r="C93" s="61" t="str">
        <x:v>牛元喆</x:v>
      </x:c>
      <x:c r="D93" s="17" t="n">
        <x:v>1</x:v>
      </x:c>
      <x:c r="E93" s="17" t="n">
        <x:v>0</x:v>
      </x:c>
      <x:c r="F93" s="17" t="n">
        <x:v>0</x:v>
      </x:c>
      <x:c r="G93" s="17" t="n">
        <x:v>1</x:v>
      </x:c>
      <x:c r="H93" s="16" t="str">
        <x:v>2017-08-15—2017-08-24｜第5届世界青年公开锦标赛｜U16 Teams / Kids Teams｜CHINA RDFZ GALAXY</x:v>
      </x:c>
      <x:c r="I93" s="16" t="str"/>
      <x:c r="J93" s="16" t="str"/>
    </x:row>
    <x:row r="94">
      <x:c r="A94" s="36" t="n">
        <x:v>43</x:v>
      </x:c>
      <x:c r="B94" s="36" t="str">
        <x:v>Yuyi Bu</x:v>
      </x:c>
      <x:c r="C94" s="64" t="str">
        <x:v>卜宇毅</x:v>
      </x:c>
      <x:c r="D94" s="36" t="n">
        <x:v>1</x:v>
      </x:c>
      <x:c r="E94" s="36" t="n">
        <x:v>0</x:v>
      </x:c>
      <x:c r="F94" s="36" t="n">
        <x:v>0</x:v>
      </x:c>
      <x:c r="G94" s="36" t="n">
        <x:v>1</x:v>
      </x:c>
      <x:c r="H94" s="35" t="str">
        <x:v>2025-07-12—2025-07-17｜第19届世界青年团体锦标赛｜U16 BAM｜CHINA</x:v>
      </x:c>
      <x:c r="I94" s="35" t="str"/>
      <x:c r="J94" s="35" t="str"/>
    </x:row>
    <x:row r="95">
      <x:c r="A95" s="17" t="n">
        <x:v>43</x:v>
      </x:c>
      <x:c r="B95" s="17" t="str">
        <x:v>Zanchao Cui</x:v>
      </x:c>
      <x:c r="C95" s="61" t="str">
        <x:v>崔昝超</x:v>
      </x:c>
      <x:c r="D95" s="17" t="n">
        <x:v>1</x:v>
      </x:c>
      <x:c r="E95" s="17" t="n">
        <x:v>0</x:v>
      </x:c>
      <x:c r="F95" s="17" t="n">
        <x:v>0</x:v>
      </x:c>
      <x:c r="G95" s="17" t="n">
        <x:v>1</x:v>
      </x:c>
      <x:c r="H95" s="16" t="str">
        <x:v>2018-08-08—2018-08-18｜世界青年团体锦标赛｜U16 Teams｜CHINA3</x:v>
      </x:c>
      <x:c r="I95" s="16" t="str"/>
      <x:c r="J95" s="16" t="str"/>
    </x:row>
    <x:row r="96">
      <x:c r="A96" s="36" t="n">
        <x:v>43</x:v>
      </x:c>
      <x:c r="B96" s="36" t="str">
        <x:v>Zekun Zhu</x:v>
      </x:c>
      <x:c r="C96" s="64" t="str">
        <x:v>朱泽坤</x:v>
      </x:c>
      <x:c r="D96" s="36" t="n">
        <x:v>1</x:v>
      </x:c>
      <x:c r="E96" s="36" t="n">
        <x:v>0</x:v>
      </x:c>
      <x:c r="F96" s="36" t="n">
        <x:v>0</x:v>
      </x:c>
      <x:c r="G96" s="36" t="n">
        <x:v>1</x:v>
      </x:c>
      <x:c r="H96" s="35" t="str">
        <x:v>2025-07-12—2025-07-17｜第19届世界青年团体锦标赛｜U16 BAM｜CHINA</x:v>
      </x:c>
      <x:c r="I96" s="35" t="str"/>
      <x:c r="J96" s="35" t="str"/>
    </x:row>
    <x:row r="97">
      <x:c r="A97" s="17" t="n">
        <x:v>43</x:v>
      </x:c>
      <x:c r="B97" s="17" t="str">
        <x:v>Zhaofeng Wang</x:v>
      </x:c>
      <x:c r="C97" s="61" t="str">
        <x:v>王照峰</x:v>
      </x:c>
      <x:c r="D97" s="17" t="n">
        <x:v>1</x:v>
      </x:c>
      <x:c r="E97" s="17" t="n">
        <x:v>0</x:v>
      </x:c>
      <x:c r="F97" s="17" t="n">
        <x:v>0</x:v>
      </x:c>
      <x:c r="G97" s="17" t="n">
        <x:v>1</x:v>
      </x:c>
      <x:c r="H97" s="16" t="str">
        <x:v>2017-08-15—2017-08-24｜第5届世界青年公开锦标赛｜U16 Teams / Kids Teams｜CHINA RDFZ GALAXY</x:v>
      </x:c>
      <x:c r="I97" s="16" t="str"/>
      <x:c r="J97" s="16" t="str"/>
    </x:row>
    <x:row r="98">
      <x:c r="A98" s="36" t="n">
        <x:v>43</x:v>
      </x:c>
      <x:c r="B98" s="36" t="str">
        <x:v>Zhenhao Cai</x:v>
      </x:c>
      <x:c r="C98" s="61" t="str">
        <x:v>蔡振浩</x:v>
      </x:c>
      <x:c r="D98" s="36" t="n">
        <x:v>1</x:v>
      </x:c>
      <x:c r="E98" s="36" t="n">
        <x:v>0</x:v>
      </x:c>
      <x:c r="F98" s="36" t="n">
        <x:v>0</x:v>
      </x:c>
      <x:c r="G98" s="36" t="n">
        <x:v>1</x:v>
      </x:c>
      <x:c r="H98" s="35" t="str">
        <x:v>2017-08-15—2017-08-24｜第5届世界青年公开锦标赛｜U16 Teams / Kids Teams｜CHINA RDFZ GALAXY</x:v>
      </x:c>
      <x:c r="I98" s="35" t="str"/>
      <x:c r="J98" s="35" t="str"/>
    </x:row>
    <x:row r="99">
      <x:c r="A99" s="17" t="n">
        <x:v>43</x:v>
      </x:c>
      <x:c r="B99" s="17" t="str">
        <x:v>Zhuxiongjie Gao</x:v>
      </x:c>
      <x:c r="C99" s="61" t="str">
        <x:v>高朱雄杰</x:v>
      </x:c>
      <x:c r="D99" s="17" t="n">
        <x:v>1</x:v>
      </x:c>
      <x:c r="E99" s="17" t="n">
        <x:v>0</x:v>
      </x:c>
      <x:c r="F99" s="17" t="n">
        <x:v>0</x:v>
      </x:c>
      <x:c r="G99" s="17" t="n">
        <x:v>1</x:v>
      </x:c>
      <x:c r="H99" s="16" t="str">
        <x:v>2019-08-20—2019-08-29｜第6届世界青年公开锦标赛｜U16 Teams｜SXMARS</x:v>
      </x:c>
      <x:c r="I99" s="16" t="str"/>
      <x:c r="J99" s="16" t="str"/>
    </x:row>
    <x:row r="100">
      <x:c r="A100" s="36" t="n">
        <x:v>43</x:v>
      </x:c>
      <x:c r="B100" s="36" t="str">
        <x:v>Zichen Wang</x:v>
      </x:c>
      <x:c r="C100" s="61" t="str">
        <x:v>王子尘</x:v>
      </x:c>
      <x:c r="D100" s="36" t="n">
        <x:v>1</x:v>
      </x:c>
      <x:c r="E100" s="36" t="n">
        <x:v>0</x:v>
      </x:c>
      <x:c r="F100" s="36" t="n">
        <x:v>0</x:v>
      </x:c>
      <x:c r="G100" s="36" t="n">
        <x:v>1</x:v>
      </x:c>
      <x:c r="H100" s="35" t="str">
        <x:v>2018-08-08—2018-08-18｜世界青年团体锦标赛｜U16 Teams｜CHINA3</x:v>
      </x:c>
      <x:c r="I100" s="35" t="str"/>
      <x:c r="J100" s="35" t="str"/>
    </x:row>
    <x:row r="101">
      <x:c r="A101" s="17" t="n">
        <x:v>43</x:v>
      </x:c>
      <x:c r="B101" s="17" t="str">
        <x:v>Zicheng Wang</x:v>
      </x:c>
      <x:c r="C101" s="61" t="str">
        <x:v>王子铖</x:v>
      </x:c>
      <x:c r="D101" s="17" t="n">
        <x:v>1</x:v>
      </x:c>
      <x:c r="E101" s="17" t="n">
        <x:v>0</x:v>
      </x:c>
      <x:c r="F101" s="17" t="n">
        <x:v>0</x:v>
      </x:c>
      <x:c r="G101" s="17" t="n">
        <x:v>1</x:v>
      </x:c>
      <x:c r="H101" s="16" t="str">
        <x:v>2019-08-20—2019-08-29｜第6届世界青年公开锦标赛｜U16 Teams｜SXMARS</x:v>
      </x:c>
      <x:c r="I101" s="16" t="str"/>
      <x:c r="J101" s="16" t="str"/>
    </x:row>
    <x:row r="102">
      <x:c r="A102" s="36" t="n">
        <x:v>43</x:v>
      </x:c>
      <x:c r="B102" s="36" t="str">
        <x:v>Ziqi Zhang</x:v>
      </x:c>
      <x:c r="C102" s="64" t="str">
        <x:v>张子琪</x:v>
      </x:c>
      <x:c r="D102" s="36" t="n">
        <x:v>1</x:v>
      </x:c>
      <x:c r="E102" s="36" t="n">
        <x:v>0</x:v>
      </x:c>
      <x:c r="F102" s="36" t="n">
        <x:v>0</x:v>
      </x:c>
      <x:c r="G102" s="36" t="n">
        <x:v>1</x:v>
      </x:c>
      <x:c r="H102" s="35" t="str">
        <x:v>2023-07-31—2023-08-07｜第18届世界青年团体锦标赛｜U16 BAM｜CHINA</x:v>
      </x:c>
      <x:c r="I102" s="35" t="str"/>
      <x:c r="J102" s="35" t="str"/>
    </x:row>
    <x:row r="103">
      <x:c r="A103" s="17" t="n">
        <x:v>43</x:v>
      </x:c>
      <x:c r="B103" s="17" t="str">
        <x:v>Ziwen Zhao</x:v>
      </x:c>
      <x:c r="C103" s="64" t="str">
        <x:v>赵子文</x:v>
      </x:c>
      <x:c r="D103" s="17" t="n">
        <x:v>1</x:v>
      </x:c>
      <x:c r="E103" s="17" t="n">
        <x:v>0</x:v>
      </x:c>
      <x:c r="F103" s="17" t="n">
        <x:v>0</x:v>
      </x:c>
      <x:c r="G103" s="17" t="n">
        <x:v>1</x:v>
      </x:c>
      <x:c r="H103" s="16" t="str">
        <x:v>2025-07-12—2025-07-17｜第19届世界青年团体锦标赛｜U16 BAM｜CHINA</x:v>
      </x:c>
      <x:c r="I103" s="16" t="str"/>
      <x:c r="J103" s="16" t="str"/>
    </x:row>
    <x:row r="104">
      <x:c r="A104" s="36" t="n">
        <x:v>43</x:v>
      </x:c>
      <x:c r="B104" s="36" t="str">
        <x:v>Ziyu Li</x:v>
      </x:c>
      <x:c r="C104" s="61" t="str">
        <x:v>李子钰</x:v>
      </x:c>
      <x:c r="D104" s="36" t="n">
        <x:v>1</x:v>
      </x:c>
      <x:c r="E104" s="36" t="n">
        <x:v>0</x:v>
      </x:c>
      <x:c r="F104" s="36" t="n">
        <x:v>0</x:v>
      </x:c>
      <x:c r="G104" s="36" t="n">
        <x:v>1</x:v>
      </x:c>
      <x:c r="H104" s="35" t="str">
        <x:v>2026-08-03—2026-08-08｜第9届世界青年跨国锦标赛｜U31 Teams｜AGOOFANS</x:v>
      </x:c>
      <x:c r="I104" s="35" t="str"/>
      <x:c r="J104" s="35" t="str"/>
    </x:row>
    <x:row r="105">
      <x:c r="A105" s="17" t="n">
        <x:v>101</x:v>
      </x:c>
      <x:c r="B105" s="17" t="str">
        <x:v>Yu Zhang</x:v>
      </x:c>
      <x:c r="C105" s="61" t="str">
        <x:v>章瑜</x:v>
      </x:c>
      <x:c r="D105" s="17" t="n">
        <x:v>0</x:v>
      </x:c>
      <x:c r="E105" s="17" t="n">
        <x:v>5</x:v>
      </x:c>
      <x:c r="F105" s="17" t="n">
        <x:v>1</x:v>
      </x:c>
      <x:c r="G105" s="17" t="n">
        <x:v>6</x:v>
      </x:c>
      <x:c r="H105" s="16" t="str"/>
      <x:c r="I105" s="16" t="str">
        <x:v>1996｜世界桥牌团体奥林匹克赛｜女子团体｜CHINA
1997｜世界桥牌团体锦标赛｜Venice Cup 女子团体｜CHINA
2003｜世界桥牌团体锦标赛｜Venice Cup 女子团体｜CHINA
2014-10｜世界桥牌综合锦标赛｜Mixed Teams 混合团体｜CHINA
2014-10｜世界桥牌综合锦标赛｜Women Teams 女子团体｜CHINA</x:v>
      </x:c>
      <x:c r="J105" s="16" t="str">
        <x:v>2019-09｜世界桥牌团体锦标赛｜Transnational Open Teams 跨国公开团体｜CHINA</x:v>
      </x:c>
    </x:row>
    <x:row r="106">
      <x:c r="A106" s="36" t="n">
        <x:v>102</x:v>
      </x:c>
      <x:c r="B106" s="36" t="str">
        <x:v>Yalan Zhang</x:v>
      </x:c>
      <x:c r="C106" s="61" t="str">
        <x:v>张亚兰</x:v>
      </x:c>
      <x:c r="D106" s="36" t="n">
        <x:v>0</x:v>
      </x:c>
      <x:c r="E106" s="36" t="n">
        <x:v>4</x:v>
      </x:c>
      <x:c r="F106" s="36" t="n">
        <x:v>3</x:v>
      </x:c>
      <x:c r="G106" s="36" t="n">
        <x:v>7</x:v>
      </x:c>
      <x:c r="H106" s="35" t="str"/>
      <x:c r="I106" s="35" t="str">
        <x:v>1996｜世界桥牌团体奥林匹克赛｜女子团体｜CHINA
1997｜世界桥牌团体锦标赛｜Venice Cup 女子团体｜CHINA
2003｜世界桥牌团体锦标赛｜Venice Cup 女子团体｜CHINA
2008-10-03—2008-10-18｜第1届世界智力运动会 / 世界桥牌运动会｜Women Teams 女子团体｜CHINA</x:v>
      </x:c>
      <x:c r="J106" s="35" t="str">
        <x:v>1991｜世界桥牌团体锦标赛｜Venice Cup 女子团体｜CHINA
2007｜世界桥牌团体锦标赛｜Venice Cup 女子团体｜CHINA
2015｜世界桥牌团体锦标赛｜Transnational Open Teams 跨国公开团体｜TRANSNATIONAL TEAM</x:v>
      </x:c>
    </x:row>
    <x:row r="107">
      <x:c r="A107" s="17" t="n">
        <x:v>103</x:v>
      </x:c>
      <x:c r="B107" s="17" t="str">
        <x:v>Yichao Chen</x:v>
      </x:c>
      <x:c r="C107" s="61" t="str">
        <x:v>陈一超</x:v>
      </x:c>
      <x:c r="D107" s="17" t="n">
        <x:v>0</x:v>
      </x:c>
      <x:c r="E107" s="17" t="n">
        <x:v>2</x:v>
      </x:c>
      <x:c r="F107" s="17" t="n">
        <x:v>3</x:v>
      </x:c>
      <x:c r="G107" s="17" t="n">
        <x:v>5</x:v>
      </x:c>
      <x:c r="H107" s="16" t="str"/>
      <x:c r="I107" s="16" t="str">
        <x:v>2024-10-22—2024-11-03｜第16届世界桥牌运动会｜Mixed Teams 混合团体｜CHINA
2025-08-20—2025-08-31｜第47届世界桥牌团体锦标赛｜Wuhan Cup 混合团体｜CHINA</x:v>
      </x:c>
      <x:c r="J107" s="16" t="str">
        <x:v>2008-10-03—2008-10-18｜第1届世界智力运动会 / 世界桥牌运动会｜U21 Teams 青年团体｜CHINA
2010-10｜世界青年团体锦标赛｜U26 Teams｜CHINA
2012-07-25—2012-08-04｜世界青年团体锦标赛｜U26 Teams｜CHINA</x:v>
      </x:c>
    </x:row>
    <x:row r="108">
      <x:c r="A108" s="36" t="n">
        <x:v>104</x:v>
      </x:c>
      <x:c r="B108" s="36" t="str">
        <x:v>Jian Ming Dai</x:v>
      </x:c>
      <x:c r="C108" s="61" t="str">
        <x:v>戴建明</x:v>
      </x:c>
      <x:c r="D108" s="36" t="n">
        <x:v>0</x:v>
      </x:c>
      <x:c r="E108" s="36" t="n">
        <x:v>2</x:v>
      </x:c>
      <x:c r="F108" s="36" t="n">
        <x:v>2</x:v>
      </x:c>
      <x:c r="G108" s="36" t="n">
        <x:v>4</x:v>
      </x:c>
      <x:c r="H108" s="35" t="str"/>
      <x:c r="I108" s="35" t="str">
        <x:v>2013｜世界桥牌团体锦标赛｜Transnational Open Teams 跨国公开团体｜CHINA
2014-10｜世界桥牌综合锦标赛｜Mixed Teams 混合团体｜CHINA</x:v>
      </x:c>
      <x:c r="J108" s="35" t="str">
        <x:v>2012｜世界桥牌运动会｜Transnational Mixed Teams 跨国混合团体｜CHINA
2019-09｜世界桥牌团体锦标赛｜Transnational Open Teams 跨国公开团体｜CHINA</x:v>
      </x:c>
    </x:row>
    <x:row r="109">
      <x:c r="A109" s="17" t="n">
        <x:v>104</x:v>
      </x:c>
      <x:c r="B109" s="17" t="str">
        <x:v>Jing Rong Ran</x:v>
      </x:c>
      <x:c r="C109" s="61" t="str">
        <x:v>冉静蓉</x:v>
      </x:c>
      <x:c r="D109" s="17" t="n">
        <x:v>0</x:v>
      </x:c>
      <x:c r="E109" s="17" t="n">
        <x:v>2</x:v>
      </x:c>
      <x:c r="F109" s="17" t="n">
        <x:v>2</x:v>
      </x:c>
      <x:c r="G109" s="17" t="n">
        <x:v>4</x:v>
      </x:c>
      <x:c r="H109" s="16" t="str"/>
      <x:c r="I109" s="16" t="str">
        <x:v>2014-10｜世界桥牌综合锦标赛｜Women Teams 女子团体｜CHINA
2025-08-20—2025-08-31｜第47届世界桥牌团体锦标赛｜Wuhan Cup 混合团体｜CHINA</x:v>
      </x:c>
      <x:c r="J109" s="16" t="str">
        <x:v>2019-09｜世界桥牌团体锦标赛｜Transnational Open Teams 跨国公开团体｜CHINA
2023-08｜世界桥牌团体锦标赛｜Venice Cup 女子团体｜CHINA</x:v>
      </x:c>
    </x:row>
    <x:row r="110">
      <x:c r="A110" s="36" t="n">
        <x:v>104</x:v>
      </x:c>
      <x:c r="B110" s="36" t="str">
        <x:v>Liping Wang</x:v>
      </x:c>
      <x:c r="C110" s="61" t="str">
        <x:v>王礼萍</x:v>
      </x:c>
      <x:c r="D110" s="36" t="n">
        <x:v>0</x:v>
      </x:c>
      <x:c r="E110" s="36" t="n">
        <x:v>2</x:v>
      </x:c>
      <x:c r="F110" s="36" t="n">
        <x:v>2</x:v>
      </x:c>
      <x:c r="G110" s="36" t="n">
        <x:v>4</x:v>
      </x:c>
      <x:c r="H110" s="35" t="str"/>
      <x:c r="I110" s="35" t="str">
        <x:v>2003｜世界桥牌团体锦标赛｜Venice Cup 女子团体｜CHINA
2014-10｜世界桥牌综合锦标赛｜Mixed Teams 混合团体｜CHINA</x:v>
      </x:c>
      <x:c r="J110" s="35" t="str">
        <x:v>2004｜世界桥牌奥林匹克赛｜Transnational Mixed Teams 跨国混合团体｜CHINA
2012｜世界桥牌运动会｜Transnational Mixed Teams 跨国混合团体｜CHINA</x:v>
      </x:c>
    </x:row>
    <x:row r="111">
      <x:c r="A111" s="17" t="n">
        <x:v>104</x:v>
      </x:c>
      <x:c r="B111" s="17" t="str">
        <x:v>Randy Pan</x:v>
      </x:c>
      <x:c r="C111" s="69" t="str"/>
      <x:c r="D111" s="17" t="n">
        <x:v>0</x:v>
      </x:c>
      <x:c r="E111" s="17" t="n">
        <x:v>2</x:v>
      </x:c>
      <x:c r="F111" s="17" t="n">
        <x:v>2</x:v>
      </x:c>
      <x:c r="G111" s="17" t="n">
        <x:v>4</x:v>
      </x:c>
      <x:c r="H111" s="16" t="str"/>
      <x:c r="I111" s="16" t="str">
        <x:v>2015-08-20—2015-08-29｜第4届世界青年公开锦标赛｜U16 Teams / Kids Teams｜CHINA RDFZ1
2018-08-08—2018-08-18｜世界青年团体锦标赛｜Youth BAM｜CHINA YOUNGSTERS</x:v>
      </x:c>
      <x:c r="J111" s="16" t="str">
        <x:v>2014-08-13—2014-08-23｜世界青年团体锦标赛｜U16 Teams｜CHINA
2017-08-15—2017-08-24｜第5届世界青年公开锦标赛｜U21 Teams / Youngsters Teams｜CHINA</x:v>
      </x:c>
    </x:row>
    <x:row r="112">
      <x:c r="A112" s="36" t="n">
        <x:v>104</x:v>
      </x:c>
      <x:c r="B112" s="36" t="str">
        <x:v>Yinghao Liu</x:v>
      </x:c>
      <x:c r="C112" s="61" t="str">
        <x:v>刘英皓</x:v>
      </x:c>
      <x:c r="D112" s="36" t="n">
        <x:v>0</x:v>
      </x:c>
      <x:c r="E112" s="36" t="n">
        <x:v>2</x:v>
      </x:c>
      <x:c r="F112" s="36" t="n">
        <x:v>2</x:v>
      </x:c>
      <x:c r="G112" s="36" t="n">
        <x:v>4</x:v>
      </x:c>
      <x:c r="H112" s="35" t="str"/>
      <x:c r="I112" s="35" t="str">
        <x:v>2024-10-22—2024-11-03｜第16届世界桥牌运动会｜Mixed Teams 混合团体｜CHINA
2025-08-20—2025-08-31｜第47届世界桥牌团体锦标赛｜Wuhan Cup 混合团体｜CHINA</x:v>
      </x:c>
      <x:c r="J112" s="35" t="str">
        <x:v>2008-10-03—2008-10-18｜第1届世界智力运动会 / 世界桥牌运动会｜U28 Teams 青年团体｜CHINA
2010-10｜世界青年团体锦标赛｜U26 Teams｜CHINA</x:v>
      </x:c>
    </x:row>
    <x:row r="113">
      <x:c r="A113" s="17" t="n">
        <x:v>104</x:v>
      </x:c>
      <x:c r="B113" s="17" t="str">
        <x:v>Zejun Zhuang</x:v>
      </x:c>
      <x:c r="C113" s="61" t="str">
        <x:v>庄则军</x:v>
      </x:c>
      <x:c r="D113" s="17" t="n">
        <x:v>0</x:v>
      </x:c>
      <x:c r="E113" s="17" t="n">
        <x:v>2</x:v>
      </x:c>
      <x:c r="F113" s="17" t="n">
        <x:v>2</x:v>
      </x:c>
      <x:c r="G113" s="17" t="n">
        <x:v>4</x:v>
      </x:c>
      <x:c r="H113" s="16" t="str"/>
      <x:c r="I113" s="16" t="str">
        <x:v>2003｜世界桥牌团体锦标赛｜Transnational Open Teams 跨国公开团体｜CHINA
2013｜世界桥牌团体锦标赛｜Transnational Open Teams 跨国公开团体｜CHINA</x:v>
      </x:c>
      <x:c r="J113" s="16" t="str">
        <x:v>2012｜世界桥牌运动会｜Transnational Mixed Teams 跨国混合团体｜CHINA
2014-10｜世界桥牌综合锦标赛｜Mixed Teams 混合团体｜CHINA</x:v>
      </x:c>
    </x:row>
    <x:row r="114">
      <x:c r="A114" s="36" t="n">
        <x:v>110</x:v>
      </x:c>
      <x:c r="B114" s="36" t="str">
        <x:v>Li Xin Yang</x:v>
      </x:c>
      <x:c r="C114" s="61" t="str">
        <x:v>杨立新</x:v>
      </x:c>
      <x:c r="D114" s="36" t="n">
        <x:v>0</x:v>
      </x:c>
      <x:c r="E114" s="36" t="n">
        <x:v>2</x:v>
      </x:c>
      <x:c r="F114" s="36" t="n">
        <x:v>1</x:v>
      </x:c>
      <x:c r="G114" s="36" t="n">
        <x:v>3</x:v>
      </x:c>
      <x:c r="H114" s="35" t="str"/>
      <x:c r="I114" s="35" t="str">
        <x:v>2013｜世界桥牌团体锦标赛｜Transnational Open Teams 跨国公开团体｜CHINA
2014-10｜世界桥牌综合锦标赛｜Mixed Teams 混合团体｜CHINA</x:v>
      </x:c>
      <x:c r="J114" s="35" t="str">
        <x:v>2019-09｜世界桥牌团体锦标赛｜Transnational Open Teams 跨国公开团体｜CHINA</x:v>
      </x:c>
    </x:row>
    <x:row r="115">
      <x:c r="A115" s="17" t="n">
        <x:v>110</x:v>
      </x:c>
      <x:c r="B115" s="17" t="str">
        <x:v>Xiaoxue Zuo</x:v>
      </x:c>
      <x:c r="C115" s="61" t="str">
        <x:v>左晓雪</x:v>
      </x:c>
      <x:c r="D115" s="17" t="n">
        <x:v>0</x:v>
      </x:c>
      <x:c r="E115" s="17" t="n">
        <x:v>2</x:v>
      </x:c>
      <x:c r="F115" s="17" t="n">
        <x:v>1</x:v>
      </x:c>
      <x:c r="G115" s="17" t="n">
        <x:v>3</x:v>
      </x:c>
      <x:c r="H115" s="16" t="str"/>
      <x:c r="I115" s="16" t="str">
        <x:v>2019-09｜世界桥牌团体锦标赛｜Venice Cup 女子团体｜CHINA
2025-08-20—2025-08-31｜第47届世界桥牌团体锦标赛｜Venice Cup 女子团体｜CHINA</x:v>
      </x:c>
      <x:c r="J115" s="16" t="str">
        <x:v>2023-08｜世界桥牌团体锦标赛｜Venice Cup 女子团体｜CHINA</x:v>
      </x:c>
    </x:row>
    <x:row r="116">
      <x:c r="A116" s="36" t="n">
        <x:v>112</x:v>
      </x:c>
      <x:c r="B116" s="36" t="str">
        <x:v>Penghao Wang</x:v>
      </x:c>
      <x:c r="C116" s="64" t="str">
        <x:v>王鹏皓</x:v>
      </x:c>
      <x:c r="D116" s="36" t="n">
        <x:v>0</x:v>
      </x:c>
      <x:c r="E116" s="36" t="n">
        <x:v>1</x:v>
      </x:c>
      <x:c r="F116" s="36" t="n">
        <x:v>4</x:v>
      </x:c>
      <x:c r="G116" s="36" t="n">
        <x:v>5</x:v>
      </x:c>
      <x:c r="H116" s="35" t="str"/>
      <x:c r="I116" s="35" t="str">
        <x:v>2016-08-03—2016-08-13｜世界青年团体锦标赛｜U16 Teams｜CHINA2</x:v>
      </x:c>
      <x:c r="J116" s="35" t="str">
        <x:v>2017-08-15—2017-08-24｜第5届世界青年公开锦标赛｜U16 BAM｜SHENGXING SATURN
2017-08-15—2017-08-24｜第5届世界青年公开锦标赛｜U16 Pairs / Kids Pairs｜Licong Cheng – Penghao Wang
2017-08-15—2017-08-24｜第5届世界青年公开锦标赛｜U16 Teams / Kids Teams｜SHENGXING SATURN
2019-08-20—2019-08-29｜第6届世界青年公开锦标赛｜Youth BAM｜SXNEBULA</x:v>
      </x:c>
    </x:row>
    <x:row r="117">
      <x:c r="A117" s="17" t="n">
        <x:v>113</x:v>
      </x:c>
      <x:c r="B117" s="17" t="str">
        <x:v>Ruizhe Wang</x:v>
      </x:c>
      <x:c r="C117" s="64" t="str">
        <x:v>王睿哲</x:v>
      </x:c>
      <x:c r="D117" s="17" t="n">
        <x:v>0</x:v>
      </x:c>
      <x:c r="E117" s="17" t="n">
        <x:v>1</x:v>
      </x:c>
      <x:c r="F117" s="17" t="n">
        <x:v>3</x:v>
      </x:c>
      <x:c r="G117" s="17" t="n">
        <x:v>4</x:v>
      </x:c>
      <x:c r="H117" s="16" t="str"/>
      <x:c r="I117" s="16" t="str">
        <x:v>2016-08-03—2016-08-13｜世界青年团体锦标赛｜U16 Teams｜CHINA2</x:v>
      </x:c>
      <x:c r="J117" s="16" t="str">
        <x:v>2015-08-20—2015-08-29｜第4届世界青年公开锦标赛｜U16 Teams / Kids Teams｜SX XNWY
2017-08-15—2017-08-24｜第5届世界青年公开锦标赛｜U16 BAM｜SHENGXING SATURN
2017-08-15—2017-08-24｜第5届世界青年公开锦标赛｜U16 Teams / Kids Teams｜SHENGXING SATURN</x:v>
      </x:c>
    </x:row>
    <x:row r="118">
      <x:c r="A118" s="36" t="n">
        <x:v>114</x:v>
      </x:c>
      <x:c r="B118" s="36" t="str">
        <x:v>Mao Yuan Hu</x:v>
      </x:c>
      <x:c r="C118" s="61" t="str">
        <x:v>胡茂元</x:v>
      </x:c>
      <x:c r="D118" s="36" t="n">
        <x:v>0</x:v>
      </x:c>
      <x:c r="E118" s="36" t="n">
        <x:v>1</x:v>
      </x:c>
      <x:c r="F118" s="36" t="n">
        <x:v>2</x:v>
      </x:c>
      <x:c r="G118" s="36" t="n">
        <x:v>3</x:v>
      </x:c>
      <x:c r="H118" s="35" t="str"/>
      <x:c r="I118" s="35" t="str">
        <x:v>2013｜世界桥牌团体锦标赛｜Transnational Open Teams 跨国公开团体｜CHINA</x:v>
      </x:c>
      <x:c r="J118" s="35" t="str">
        <x:v>2012｜世界桥牌运动会｜Transnational Mixed Teams 跨国混合团体｜CHINA
2014-10｜世界桥牌综合锦标赛｜Mixed Teams 混合团体｜CHINA</x:v>
      </x:c>
    </x:row>
    <x:row r="119">
      <x:c r="A119" s="17" t="n">
        <x:v>114</x:v>
      </x:c>
      <x:c r="B119" s="17" t="str">
        <x:v>Weimin Wang</x:v>
      </x:c>
      <x:c r="C119" s="61" t="str">
        <x:v>王为民</x:v>
      </x:c>
      <x:c r="D119" s="17" t="n">
        <x:v>0</x:v>
      </x:c>
      <x:c r="E119" s="17" t="n">
        <x:v>1</x:v>
      </x:c>
      <x:c r="F119" s="17" t="n">
        <x:v>2</x:v>
      </x:c>
      <x:c r="G119" s="17" t="n">
        <x:v>3</x:v>
      </x:c>
      <x:c r="H119" s="16" t="str"/>
      <x:c r="I119" s="16" t="str">
        <x:v>2003｜世界桥牌团体锦标赛｜Transnational Open Teams 跨国公开团体｜CHINA</x:v>
      </x:c>
      <x:c r="J119" s="16" t="str">
        <x:v>2004｜世界桥牌奥林匹克赛｜Transnational Mixed Teams 跨国混合团体｜CHINA
2014-10｜世界桥牌综合锦标赛｜Mixed Teams 混合团体｜CHINA</x:v>
      </x:c>
    </x:row>
    <x:row r="120">
      <x:c r="A120" s="36" t="n">
        <x:v>114</x:v>
      </x:c>
      <x:c r="B120" s="36" t="str">
        <x:v>Yuekai Yang</x:v>
      </x:c>
      <x:c r="C120" s="64" t="str">
        <x:v>杨悦凯</x:v>
      </x:c>
      <x:c r="D120" s="36" t="n">
        <x:v>0</x:v>
      </x:c>
      <x:c r="E120" s="36" t="n">
        <x:v>1</x:v>
      </x:c>
      <x:c r="F120" s="36" t="n">
        <x:v>2</x:v>
      </x:c>
      <x:c r="G120" s="36" t="n">
        <x:v>3</x:v>
      </x:c>
      <x:c r="H120" s="35" t="str"/>
      <x:c r="I120" s="35" t="str">
        <x:v>2026-08-03—2026-08-08｜第9届世界青年跨国锦标赛｜U21 Teams｜CHINA RDFZ BAXI</x:v>
      </x:c>
      <x:c r="J120" s="35" t="str">
        <x:v>2024-07-13—2024-07-18｜第8届世界青年跨国锦标赛｜U21 Teams｜RDFZ B (CHN/USA)
2026-08-03—2026-08-08｜第9届世界青年跨国锦标赛｜U21 Pairs｜Che Han – Yuekai Yang</x:v>
      </x:c>
    </x:row>
    <x:row r="121">
      <x:c r="A121" s="17" t="n">
        <x:v>114</x:v>
      </x:c>
      <x:c r="B121" s="17" t="str">
        <x:v>Zhiyu Cheng</x:v>
      </x:c>
      <x:c r="C121" s="61" t="str">
        <x:v>程知禹</x:v>
      </x:c>
      <x:c r="D121" s="17" t="n">
        <x:v>0</x:v>
      </x:c>
      <x:c r="E121" s="17" t="n">
        <x:v>1</x:v>
      </x:c>
      <x:c r="F121" s="17" t="n">
        <x:v>2</x:v>
      </x:c>
      <x:c r="G121" s="17" t="n">
        <x:v>3</x:v>
      </x:c>
      <x:c r="H121" s="16" t="str"/>
      <x:c r="I121" s="16" t="str">
        <x:v>2018-08-08—2018-08-18｜世界青年团体锦标赛｜Youth BAM｜CHINA YOUNGSTERS</x:v>
      </x:c>
      <x:c r="J121" s="16" t="str">
        <x:v>2014-08-13—2014-08-23｜世界青年团体锦标赛｜U16 Teams｜CHINA
2017-08-15—2017-08-24｜第5届世界青年公开锦标赛｜U21 Teams / Youngsters Teams｜CHINA</x:v>
      </x:c>
    </x:row>
    <x:row r="122">
      <x:c r="A122" s="36" t="n">
        <x:v>118</x:v>
      </x:c>
      <x:c r="B122" s="36" t="str">
        <x:v>Che Han</x:v>
      </x:c>
      <x:c r="C122" s="64" t="str">
        <x:v>韩澈</x:v>
      </x:c>
      <x:c r="D122" s="36" t="n">
        <x:v>0</x:v>
      </x:c>
      <x:c r="E122" s="36" t="n">
        <x:v>1</x:v>
      </x:c>
      <x:c r="F122" s="36" t="n">
        <x:v>1</x:v>
      </x:c>
      <x:c r="G122" s="36" t="n">
        <x:v>2</x:v>
      </x:c>
      <x:c r="H122" s="35" t="str"/>
      <x:c r="I122" s="35" t="str">
        <x:v>2026-08-03—2026-08-08｜第9届世界青年跨国锦标赛｜U21 Teams｜CHINA RDFZ BAXI</x:v>
      </x:c>
      <x:c r="J122" s="35" t="str">
        <x:v>2026-08-03—2026-08-08｜第9届世界青年跨国锦标赛｜U21 Pairs｜Che Han – Yuekai Yang</x:v>
      </x:c>
    </x:row>
    <x:row r="123">
      <x:c r="A123" s="17" t="n">
        <x:v>118</x:v>
      </x:c>
      <x:c r="B123" s="17" t="str">
        <x:v>Hanxi Ma</x:v>
      </x:c>
      <x:c r="C123" s="64" t="str">
        <x:v>马涵曦</x:v>
      </x:c>
      <x:c r="D123" s="17" t="n">
        <x:v>0</x:v>
      </x:c>
      <x:c r="E123" s="17" t="n">
        <x:v>1</x:v>
      </x:c>
      <x:c r="F123" s="17" t="n">
        <x:v>1</x:v>
      </x:c>
      <x:c r="G123" s="17" t="n">
        <x:v>2</x:v>
      </x:c>
      <x:c r="H123" s="16" t="str"/>
      <x:c r="I123" s="16" t="str">
        <x:v>2026-08-03—2026-08-08｜第9届世界青年跨国锦标赛｜U26 Teams｜REIGNWOOD JUNIORS</x:v>
      </x:c>
      <x:c r="J123" s="16" t="str">
        <x:v>2024-07-13—2024-07-18｜第8届世界青年跨国锦标赛｜U21 Teams｜RDFZ B (CHN/USA)</x:v>
      </x:c>
    </x:row>
    <x:row r="124">
      <x:c r="A124" s="36" t="n">
        <x:v>118</x:v>
      </x:c>
      <x:c r="B124" s="36" t="str">
        <x:v>Haoqing Yu</x:v>
      </x:c>
      <x:c r="C124" s="64" t="str">
        <x:v>于昊晴</x:v>
      </x:c>
      <x:c r="D124" s="36" t="n">
        <x:v>0</x:v>
      </x:c>
      <x:c r="E124" s="36" t="n">
        <x:v>1</x:v>
      </x:c>
      <x:c r="F124" s="36" t="n">
        <x:v>1</x:v>
      </x:c>
      <x:c r="G124" s="36" t="n">
        <x:v>2</x:v>
      </x:c>
      <x:c r="H124" s="35" t="str"/>
      <x:c r="I124" s="35" t="str">
        <x:v>2015-08-20—2015-08-29｜第4届世界青年公开锦标赛｜U16 Teams / Kids Teams｜CHINA RDFZ1</x:v>
      </x:c>
      <x:c r="J124" s="35" t="str">
        <x:v>2017-08-15—2017-08-24｜第5届世界青年公开锦标赛｜U21 Teams / Youngsters Teams｜CHINA</x:v>
      </x:c>
    </x:row>
    <x:row r="125">
      <x:c r="A125" s="17" t="n">
        <x:v>118</x:v>
      </x:c>
      <x:c r="B125" s="17" t="str">
        <x:v>Jiaxin Tong</x:v>
      </x:c>
      <x:c r="C125" s="64" t="str">
        <x:v>童嘉欣</x:v>
      </x:c>
      <x:c r="D125" s="17" t="n">
        <x:v>0</x:v>
      </x:c>
      <x:c r="E125" s="17" t="n">
        <x:v>1</x:v>
      </x:c>
      <x:c r="F125" s="17" t="n">
        <x:v>1</x:v>
      </x:c>
      <x:c r="G125" s="17" t="n">
        <x:v>2</x:v>
      </x:c>
      <x:c r="H125" s="16" t="str"/>
      <x:c r="I125" s="16" t="str">
        <x:v>2017-08-15—2017-08-24｜第5届世界青年公开锦标赛｜U21 Teams / Youngsters Teams｜SHENGXING TEAM</x:v>
      </x:c>
      <x:c r="J125" s="16" t="str">
        <x:v>2015-08-20—2015-08-29｜第4届世界青年公开锦标赛｜U16 Teams / Kids Teams｜SX XNWY</x:v>
      </x:c>
    </x:row>
    <x:row r="126">
      <x:c r="A126" s="36" t="n">
        <x:v>118</x:v>
      </x:c>
      <x:c r="B126" s="36" t="str">
        <x:v>Jixiao Han</x:v>
      </x:c>
      <x:c r="C126" s="64" t="str">
        <x:v>韩霁晓</x:v>
      </x:c>
      <x:c r="D126" s="36" t="n">
        <x:v>0</x:v>
      </x:c>
      <x:c r="E126" s="36" t="n">
        <x:v>1</x:v>
      </x:c>
      <x:c r="F126" s="36" t="n">
        <x:v>1</x:v>
      </x:c>
      <x:c r="G126" s="36" t="n">
        <x:v>2</x:v>
      </x:c>
      <x:c r="H126" s="35" t="str"/>
      <x:c r="I126" s="35" t="str">
        <x:v>2026-08-03—2026-08-08｜第9届世界青年跨国锦标赛｜U31 Teams｜CHINA U31</x:v>
      </x:c>
      <x:c r="J126" s="35" t="str">
        <x:v>2026-08-03—2026-08-08｜第9届世界青年跨国锦标赛｜U31 Pairs｜Jixiao Han – Zian Wang</x:v>
      </x:c>
    </x:row>
    <x:row r="127">
      <x:c r="A127" s="17" t="n">
        <x:v>118</x:v>
      </x:c>
      <x:c r="B127" s="17" t="str">
        <x:v>Ling Gan</x:v>
      </x:c>
      <x:c r="C127" s="61" t="str">
        <x:v>甘玲</x:v>
      </x:c>
      <x:c r="D127" s="17" t="n">
        <x:v>0</x:v>
      </x:c>
      <x:c r="E127" s="17" t="n">
        <x:v>1</x:v>
      </x:c>
      <x:c r="F127" s="17" t="n">
        <x:v>1</x:v>
      </x:c>
      <x:c r="G127" s="17" t="n">
        <x:v>2</x:v>
      </x:c>
      <x:c r="H127" s="16" t="str"/>
      <x:c r="I127" s="16" t="str">
        <x:v>2014-10｜世界桥牌综合锦标赛｜Women Pairs 女子双人｜Yan Huang – Ling Gan</x:v>
      </x:c>
      <x:c r="J127" s="16" t="str">
        <x:v>2008-10-03—2008-10-18｜第1届世界智力运动会 / 世界桥牌运动会｜Transnational Mixed Teams 跨国混合团体｜A-EVERTRUST HOLDING GROUP</x:v>
      </x:c>
    </x:row>
    <x:row r="128">
      <x:c r="A128" s="36" t="n">
        <x:v>118</x:v>
      </x:c>
      <x:c r="B128" s="36" t="str">
        <x:v>Rongqiang Lin</x:v>
      </x:c>
      <x:c r="C128" s="61" t="str">
        <x:v>林荣强</x:v>
      </x:c>
      <x:c r="D128" s="36" t="n">
        <x:v>0</x:v>
      </x:c>
      <x:c r="E128" s="36" t="n">
        <x:v>1</x:v>
      </x:c>
      <x:c r="F128" s="36" t="n">
        <x:v>1</x:v>
      </x:c>
      <x:c r="G128" s="36" t="n">
        <x:v>2</x:v>
      </x:c>
      <x:c r="H128" s="35" t="str"/>
      <x:c r="I128" s="35" t="str">
        <x:v>2018｜世界桥牌综合锦标赛｜World Senior Teams 老年团体｜CHINA</x:v>
      </x:c>
      <x:c r="J128" s="35" t="str">
        <x:v>2008-10-03—2008-10-18｜第1届世界智力运动会 / 世界桥牌运动会｜Transnational Mixed Teams 跨国混合团体｜A-EVERTRUST HOLDING GROUP</x:v>
      </x:c>
    </x:row>
    <x:row r="129">
      <x:c r="A129" s="17" t="n">
        <x:v>118</x:v>
      </x:c>
      <x:c r="B129" s="17" t="str">
        <x:v>Shi Qiu</x:v>
      </x:c>
      <x:c r="C129" s="64" t="str">
        <x:v>邱实</x:v>
      </x:c>
      <x:c r="D129" s="17" t="n">
        <x:v>0</x:v>
      </x:c>
      <x:c r="E129" s="17" t="n">
        <x:v>1</x:v>
      </x:c>
      <x:c r="F129" s="17" t="n">
        <x:v>1</x:v>
      </x:c>
      <x:c r="G129" s="17" t="n">
        <x:v>2</x:v>
      </x:c>
      <x:c r="H129" s="16" t="str"/>
      <x:c r="I129" s="16" t="str">
        <x:v>2015-08-20—2015-08-29｜第4届世界青年公开锦标赛｜U16 Teams / Kids Teams｜CHINA RDFZ1</x:v>
      </x:c>
      <x:c r="J129" s="16" t="str">
        <x:v>2017-08-15—2017-08-24｜第5届世界青年公开锦标赛｜U21 Teams / Youngsters Teams｜CHINA</x:v>
      </x:c>
    </x:row>
    <x:row r="130">
      <x:c r="A130" s="36" t="n">
        <x:v>118</x:v>
      </x:c>
      <x:c r="B130" s="36" t="str">
        <x:v>Tiancheng Zhang</x:v>
      </x:c>
      <x:c r="C130" s="64" t="str">
        <x:v>张天成</x:v>
      </x:c>
      <x:c r="D130" s="36" t="n">
        <x:v>0</x:v>
      </x:c>
      <x:c r="E130" s="36" t="n">
        <x:v>1</x:v>
      </x:c>
      <x:c r="F130" s="36" t="n">
        <x:v>1</x:v>
      </x:c>
      <x:c r="G130" s="36" t="n">
        <x:v>2</x:v>
      </x:c>
      <x:c r="H130" s="35" t="str"/>
      <x:c r="I130" s="35" t="str">
        <x:v>2017-08-15—2017-08-24｜第5届世界青年公开锦标赛｜U21 Teams / Youngsters Teams｜SHENGXING TEAM</x:v>
      </x:c>
      <x:c r="J130" s="35" t="str">
        <x:v>2015-08-20—2015-08-29｜第4届世界青年公开锦标赛｜U16 Teams / Kids Teams｜SX XNWY</x:v>
      </x:c>
    </x:row>
    <x:row r="131">
      <x:c r="A131" s="17" t="n">
        <x:v>118</x:v>
      </x:c>
      <x:c r="B131" s="17" t="str">
        <x:v>Tianyao Yan</x:v>
      </x:c>
      <x:c r="C131" s="64" t="str">
        <x:v>闫天尧</x:v>
      </x:c>
      <x:c r="D131" s="17" t="n">
        <x:v>0</x:v>
      </x:c>
      <x:c r="E131" s="17" t="n">
        <x:v>1</x:v>
      </x:c>
      <x:c r="F131" s="17" t="n">
        <x:v>1</x:v>
      </x:c>
      <x:c r="G131" s="17" t="n">
        <x:v>2</x:v>
      </x:c>
      <x:c r="H131" s="16" t="str"/>
      <x:c r="I131" s="16" t="str">
        <x:v>2026-08-03—2026-08-08｜第9届世界青年跨国锦标赛｜U31 Teams｜CHINA U31</x:v>
      </x:c>
      <x:c r="J131" s="16" t="str">
        <x:v>2019-08-20—2019-08-29｜第6届世界青年公开锦标赛｜Youth BAM｜SXNEBULA</x:v>
      </x:c>
    </x:row>
    <x:row r="132">
      <x:c r="A132" s="36" t="n">
        <x:v>118</x:v>
      </x:c>
      <x:c r="B132" s="36" t="str">
        <x:v>Xihao Wang</x:v>
      </x:c>
      <x:c r="C132" s="61" t="str">
        <x:v>王熙昊</x:v>
      </x:c>
      <x:c r="D132" s="36" t="n">
        <x:v>0</x:v>
      </x:c>
      <x:c r="E132" s="36" t="n">
        <x:v>1</x:v>
      </x:c>
      <x:c r="F132" s="36" t="n">
        <x:v>1</x:v>
      </x:c>
      <x:c r="G132" s="36" t="n">
        <x:v>2</x:v>
      </x:c>
      <x:c r="H132" s="35" t="str"/>
      <x:c r="I132" s="35" t="str">
        <x:v>2018-08-08—2018-08-18｜世界青年团体锦标赛｜Youth BAM｜CHINA YOUNGSTERS</x:v>
      </x:c>
      <x:c r="J132" s="35" t="str">
        <x:v>2017-08-15—2017-08-24｜第5届世界青年公开锦标赛｜U21 Teams / Youngsters Teams｜CHINA</x:v>
      </x:c>
    </x:row>
    <x:row r="133">
      <x:c r="A133" s="17" t="n">
        <x:v>118</x:v>
      </x:c>
      <x:c r="B133" s="17" t="str">
        <x:v>Yihong Liu</x:v>
      </x:c>
      <x:c r="C133" s="64" t="str">
        <x:v>刘奕宏</x:v>
      </x:c>
      <x:c r="D133" s="17" t="n">
        <x:v>0</x:v>
      </x:c>
      <x:c r="E133" s="17" t="n">
        <x:v>1</x:v>
      </x:c>
      <x:c r="F133" s="17" t="n">
        <x:v>1</x:v>
      </x:c>
      <x:c r="G133" s="17" t="n">
        <x:v>2</x:v>
      </x:c>
      <x:c r="H133" s="16" t="str"/>
      <x:c r="I133" s="16" t="str">
        <x:v>2017-08-15—2017-08-24｜第5届世界青年公开锦标赛｜U21 Teams / Youngsters Teams｜SHENGXING TEAM</x:v>
      </x:c>
      <x:c r="J133" s="16" t="str">
        <x:v>2015-08-20—2015-08-29｜第4届世界青年公开锦标赛｜U16 Teams / Kids Teams｜SX XNWY</x:v>
      </x:c>
    </x:row>
    <x:row r="134">
      <x:c r="A134" s="36" t="n">
        <x:v>118</x:v>
      </x:c>
      <x:c r="B134" s="36" t="str">
        <x:v>Zhengjun Shi</x:v>
      </x:c>
      <x:c r="C134" s="61" t="str">
        <x:v>石正钧</x:v>
      </x:c>
      <x:c r="D134" s="36" t="n">
        <x:v>0</x:v>
      </x:c>
      <x:c r="E134" s="36" t="n">
        <x:v>1</x:v>
      </x:c>
      <x:c r="F134" s="36" t="n">
        <x:v>1</x:v>
      </x:c>
      <x:c r="G134" s="36" t="n">
        <x:v>2</x:v>
      </x:c>
      <x:c r="H134" s="35" t="str"/>
      <x:c r="I134" s="35" t="str">
        <x:v>2017｜世界桥牌团体锦标赛｜Transnational Open Teams 跨国公开团体｜TRANSNATIONAL TEAM</x:v>
      </x:c>
      <x:c r="J134" s="35" t="str">
        <x:v>2008-10-03—2008-10-18｜第1届世界智力运动会 / 世界桥牌运动会｜Transnational Mixed Teams 跨国混合团体｜A-EVERTRUST HOLDING GROUP</x:v>
      </x:c>
    </x:row>
    <x:row r="135">
      <x:c r="A135" s="17" t="n">
        <x:v>118</x:v>
      </x:c>
      <x:c r="B135" s="17" t="str">
        <x:v>Zian Wang</x:v>
      </x:c>
      <x:c r="C135" s="64" t="str">
        <x:v>王子安</x:v>
      </x:c>
      <x:c r="D135" s="17" t="n">
        <x:v>0</x:v>
      </x:c>
      <x:c r="E135" s="17" t="n">
        <x:v>1</x:v>
      </x:c>
      <x:c r="F135" s="17" t="n">
        <x:v>1</x:v>
      </x:c>
      <x:c r="G135" s="17" t="n">
        <x:v>2</x:v>
      </x:c>
      <x:c r="H135" s="16" t="str"/>
      <x:c r="I135" s="16" t="str">
        <x:v>2026-08-03—2026-08-08｜第9届世界青年跨国锦标赛｜U31 Teams｜CHINA U31</x:v>
      </x:c>
      <x:c r="J135" s="16" t="str">
        <x:v>2026-08-03—2026-08-08｜第9届世界青年跨国锦标赛｜U31 Pairs｜Jixiao Han – Zian Wang</x:v>
      </x:c>
    </x:row>
    <x:row r="136">
      <x:c r="A136" s="36" t="n">
        <x:v>118</x:v>
      </x:c>
      <x:c r="B136" s="36" t="str">
        <x:v>Ziao Wang</x:v>
      </x:c>
      <x:c r="C136" s="64" t="str">
        <x:v>王子奥</x:v>
      </x:c>
      <x:c r="D136" s="36" t="n">
        <x:v>0</x:v>
      </x:c>
      <x:c r="E136" s="36" t="n">
        <x:v>1</x:v>
      </x:c>
      <x:c r="F136" s="36" t="n">
        <x:v>1</x:v>
      </x:c>
      <x:c r="G136" s="36" t="n">
        <x:v>2</x:v>
      </x:c>
      <x:c r="H136" s="35" t="str"/>
      <x:c r="I136" s="35" t="str">
        <x:v>2026-08-03—2026-08-08｜第9届世界青年跨国锦标赛｜U26 Teams｜REIGNWOOD JUNIORS</x:v>
      </x:c>
      <x:c r="J136" s="35" t="str">
        <x:v>2024-07-13—2024-07-18｜第8届世界青年跨国锦标赛｜U21 Teams｜RDFZ B (CHN/USA)</x:v>
      </x:c>
    </x:row>
    <x:row r="137">
      <x:c r="A137" s="17" t="n">
        <x:v>133</x:v>
      </x:c>
      <x:c r="B137" s="17" t="str">
        <x:v>Aijia Yuan</x:v>
      </x:c>
      <x:c r="C137" s="67" t="str">
        <x:v>袁艾佳</x:v>
      </x:c>
      <x:c r="D137" s="17" t="n">
        <x:v>0</x:v>
      </x:c>
      <x:c r="E137" s="17" t="n">
        <x:v>1</x:v>
      </x:c>
      <x:c r="F137" s="17" t="n">
        <x:v>0</x:v>
      </x:c>
      <x:c r="G137" s="17" t="n">
        <x:v>1</x:v>
      </x:c>
      <x:c r="H137" s="16" t="str"/>
      <x:c r="I137" s="16" t="str">
        <x:v>2015-08-20—2015-08-29｜第4届世界青年公开锦标赛｜U26 Women Teams / Girls Teams｜SX XHLD</x:v>
      </x:c>
      <x:c r="J137" s="16" t="str"/>
    </x:row>
    <x:row r="138">
      <x:c r="A138" s="36" t="n">
        <x:v>133</x:v>
      </x:c>
      <x:c r="B138" s="36" t="str">
        <x:v>Bing Zhao</x:v>
      </x:c>
      <x:c r="C138" s="67" t="str">
        <x:v>赵冰</x:v>
      </x:c>
      <x:c r="D138" s="36" t="n">
        <x:v>0</x:v>
      </x:c>
      <x:c r="E138" s="36" t="n">
        <x:v>1</x:v>
      </x:c>
      <x:c r="F138" s="36" t="n">
        <x:v>0</x:v>
      </x:c>
      <x:c r="G138" s="36" t="n">
        <x:v>1</x:v>
      </x:c>
      <x:c r="H138" s="35" t="str"/>
      <x:c r="I138" s="35" t="str">
        <x:v>2014-08-13—2014-08-23｜世界青年团体锦标赛｜U26 Women Teams｜CHINA</x:v>
      </x:c>
      <x:c r="J138" s="35" t="str"/>
    </x:row>
    <x:row r="139">
      <x:c r="A139" s="17" t="n">
        <x:v>133</x:v>
      </x:c>
      <x:c r="B139" s="17" t="str">
        <x:v>Chongshang Huang</x:v>
      </x:c>
      <x:c r="C139" s="61" t="str">
        <x:v>黄崇尚</x:v>
      </x:c>
      <x:c r="D139" s="17" t="n">
        <x:v>0</x:v>
      </x:c>
      <x:c r="E139" s="17" t="n">
        <x:v>1</x:v>
      </x:c>
      <x:c r="F139" s="17" t="n">
        <x:v>0</x:v>
      </x:c>
      <x:c r="G139" s="17" t="n">
        <x:v>1</x:v>
      </x:c>
      <x:c r="H139" s="16" t="str"/>
      <x:c r="I139" s="16" t="str">
        <x:v>2026-08-03—2026-08-08｜第9届世界青年跨国锦标赛｜U26 Pairs｜Chongshang Huang – Yuantao Zheng</x:v>
      </x:c>
      <x:c r="J139" s="16" t="str"/>
    </x:row>
    <x:row r="140">
      <x:c r="A140" s="36" t="n">
        <x:v>133</x:v>
      </x:c>
      <x:c r="B140" s="36" t="str">
        <x:v>Chuan Cheng Ju</x:v>
      </x:c>
      <x:c r="C140" s="61" t="str">
        <x:v>鞠传成</x:v>
      </x:c>
      <x:c r="D140" s="36" t="n">
        <x:v>0</x:v>
      </x:c>
      <x:c r="E140" s="36" t="n">
        <x:v>1</x:v>
      </x:c>
      <x:c r="F140" s="36" t="n">
        <x:v>0</x:v>
      </x:c>
      <x:c r="G140" s="36" t="n">
        <x:v>1</x:v>
      </x:c>
      <x:c r="H140" s="35" t="str"/>
      <x:c r="I140" s="35" t="str">
        <x:v>2017｜世界桥牌团体锦标赛｜Transnational Open Teams 跨国公开团体｜TRANSNATIONAL TEAM</x:v>
      </x:c>
      <x:c r="J140" s="35" t="str"/>
    </x:row>
    <x:row r="141">
      <x:c r="A141" s="17" t="n">
        <x:v>133</x:v>
      </x:c>
      <x:c r="B141" s="17" t="str">
        <x:v>Guofang Xin</x:v>
      </x:c>
      <x:c r="C141" s="67" t="str">
        <x:v>辛国芳</x:v>
      </x:c>
      <x:c r="D141" s="17" t="n">
        <x:v>0</x:v>
      </x:c>
      <x:c r="E141" s="17" t="n">
        <x:v>1</x:v>
      </x:c>
      <x:c r="F141" s="17" t="n">
        <x:v>0</x:v>
      </x:c>
      <x:c r="G141" s="17" t="n">
        <x:v>1</x:v>
      </x:c>
      <x:c r="H141" s="16" t="str"/>
      <x:c r="I141" s="16" t="str">
        <x:v>2019-09｜世界桥牌团体锦标赛｜Transnational Open Teams 跨国公开团体｜CHINA</x:v>
      </x:c>
      <x:c r="J141" s="16" t="str"/>
    </x:row>
    <x:row r="142">
      <x:c r="A142" s="36" t="n">
        <x:v>133</x:v>
      </x:c>
      <x:c r="B142" s="36" t="str">
        <x:v>Hanting Wang</x:v>
      </x:c>
      <x:c r="C142" s="64" t="str">
        <x:v>王涵婷</x:v>
      </x:c>
      <x:c r="D142" s="36" t="n">
        <x:v>0</x:v>
      </x:c>
      <x:c r="E142" s="36" t="n">
        <x:v>1</x:v>
      </x:c>
      <x:c r="F142" s="36" t="n">
        <x:v>0</x:v>
      </x:c>
      <x:c r="G142" s="36" t="n">
        <x:v>1</x:v>
      </x:c>
      <x:c r="H142" s="35" t="str"/>
      <x:c r="I142" s="35" t="str">
        <x:v>2026-08-03—2026-08-08｜第9届世界青年跨国锦标赛｜U21 Teams｜CHINA RDFZ BAXI</x:v>
      </x:c>
      <x:c r="J142" s="35" t="str"/>
    </x:row>
    <x:row r="143">
      <x:c r="A143" s="17" t="n">
        <x:v>133</x:v>
      </x:c>
      <x:c r="B143" s="17" t="str">
        <x:v>Hanxiao Li</x:v>
      </x:c>
      <x:c r="C143" s="67" t="str">
        <x:v>李含笑</x:v>
      </x:c>
      <x:c r="D143" s="17" t="n">
        <x:v>0</x:v>
      </x:c>
      <x:c r="E143" s="17" t="n">
        <x:v>1</x:v>
      </x:c>
      <x:c r="F143" s="17" t="n">
        <x:v>0</x:v>
      </x:c>
      <x:c r="G143" s="17" t="n">
        <x:v>1</x:v>
      </x:c>
      <x:c r="H143" s="16" t="str"/>
      <x:c r="I143" s="16" t="str">
        <x:v>2014-08-13—2014-08-23｜世界青年团体锦标赛｜U26 Women Teams｜CHINA</x:v>
      </x:c>
      <x:c r="J143" s="16" t="str"/>
    </x:row>
    <x:row r="144">
      <x:c r="A144" s="36" t="n">
        <x:v>133</x:v>
      </x:c>
      <x:c r="B144" s="36" t="str">
        <x:v>Haojun Shi</x:v>
      </x:c>
      <x:c r="C144" s="61" t="str">
        <x:v>施豪军</x:v>
      </x:c>
      <x:c r="D144" s="36" t="n">
        <x:v>0</x:v>
      </x:c>
      <x:c r="E144" s="36" t="n">
        <x:v>1</x:v>
      </x:c>
      <x:c r="F144" s="36" t="n">
        <x:v>0</x:v>
      </x:c>
      <x:c r="G144" s="36" t="n">
        <x:v>1</x:v>
      </x:c>
      <x:c r="H144" s="35" t="str"/>
      <x:c r="I144" s="35" t="str">
        <x:v>2003｜世界桥牌团体锦标赛｜Transnational Open Teams 跨国公开团体｜CHINA</x:v>
      </x:c>
      <x:c r="J144" s="35" t="str"/>
    </x:row>
    <x:row r="145">
      <x:c r="A145" s="17" t="n">
        <x:v>133</x:v>
      </x:c>
      <x:c r="B145" s="17" t="str">
        <x:v>Hongbin Su</x:v>
      </x:c>
      <x:c r="C145" s="64" t="str">
        <x:v>苏红斌</x:v>
      </x:c>
      <x:c r="D145" s="17" t="n">
        <x:v>0</x:v>
      </x:c>
      <x:c r="E145" s="17" t="n">
        <x:v>1</x:v>
      </x:c>
      <x:c r="F145" s="17" t="n">
        <x:v>0</x:v>
      </x:c>
      <x:c r="G145" s="17" t="n">
        <x:v>1</x:v>
      </x:c>
      <x:c r="H145" s="16" t="str"/>
      <x:c r="I145" s="16" t="str">
        <x:v>2019-09｜世界桥牌团体锦标赛｜Transnational Open Teams 跨国公开团体｜CHINA</x:v>
      </x:c>
      <x:c r="J145" s="16" t="str"/>
    </x:row>
    <x:row r="146">
      <x:c r="A146" s="36" t="n">
        <x:v>133</x:v>
      </x:c>
      <x:c r="B146" s="36" t="str">
        <x:v>Huibo Jiang</x:v>
      </x:c>
      <x:c r="C146" s="67" t="str">
        <x:v>姜惠波</x:v>
      </x:c>
      <x:c r="D146" s="36" t="n">
        <x:v>0</x:v>
      </x:c>
      <x:c r="E146" s="36" t="n">
        <x:v>1</x:v>
      </x:c>
      <x:c r="F146" s="36" t="n">
        <x:v>0</x:v>
      </x:c>
      <x:c r="G146" s="36" t="n">
        <x:v>1</x:v>
      </x:c>
      <x:c r="H146" s="35" t="str"/>
      <x:c r="I146" s="35" t="str">
        <x:v>2019-09｜世界桥牌团体锦标赛｜Transnational Open Teams 跨国公开团体｜CHINA</x:v>
      </x:c>
      <x:c r="J146" s="35" t="str"/>
    </x:row>
    <x:row r="147">
      <x:c r="A147" s="17" t="n">
        <x:v>133</x:v>
      </x:c>
      <x:c r="B147" s="17" t="str">
        <x:v>Huiyuan Jin</x:v>
      </x:c>
      <x:c r="C147" s="64" t="str">
        <x:v>金慧媛</x:v>
      </x:c>
      <x:c r="D147" s="17" t="n">
        <x:v>0</x:v>
      </x:c>
      <x:c r="E147" s="17" t="n">
        <x:v>1</x:v>
      </x:c>
      <x:c r="F147" s="17" t="n">
        <x:v>0</x:v>
      </x:c>
      <x:c r="G147" s="17" t="n">
        <x:v>1</x:v>
      </x:c>
      <x:c r="H147" s="16" t="str"/>
      <x:c r="I147" s="16" t="str">
        <x:v>2015-08-20—2015-08-29｜第4届世界青年公开锦标赛｜U26 Women Teams / Girls Teams｜SX XHLD</x:v>
      </x:c>
      <x:c r="J147" s="16" t="str"/>
    </x:row>
    <x:row r="148">
      <x:c r="A148" s="36" t="n">
        <x:v>133</x:v>
      </x:c>
      <x:c r="B148" s="36" t="str">
        <x:v>Jian Hua Tao</x:v>
      </x:c>
      <x:c r="C148" s="61" t="str">
        <x:v>陶建华</x:v>
      </x:c>
      <x:c r="D148" s="36" t="n">
        <x:v>0</x:v>
      </x:c>
      <x:c r="E148" s="36" t="n">
        <x:v>1</x:v>
      </x:c>
      <x:c r="F148" s="36" t="n">
        <x:v>0</x:v>
      </x:c>
      <x:c r="G148" s="36" t="n">
        <x:v>1</x:v>
      </x:c>
      <x:c r="H148" s="35" t="str"/>
      <x:c r="I148" s="35" t="str">
        <x:v>2018｜世界桥牌综合锦标赛｜World Senior Teams 老年团体｜CHINA</x:v>
      </x:c>
      <x:c r="J148" s="35" t="str"/>
    </x:row>
    <x:row r="149">
      <x:c r="A149" s="17" t="n">
        <x:v>133</x:v>
      </x:c>
      <x:c r="B149" s="17" t="str">
        <x:v>Jian Wang</x:v>
      </x:c>
      <x:c r="C149" s="61" t="str">
        <x:v>王健</x:v>
      </x:c>
      <x:c r="D149" s="17" t="n">
        <x:v>0</x:v>
      </x:c>
      <x:c r="E149" s="17" t="n">
        <x:v>1</x:v>
      </x:c>
      <x:c r="F149" s="17" t="n">
        <x:v>0</x:v>
      </x:c>
      <x:c r="G149" s="17" t="n">
        <x:v>1</x:v>
      </x:c>
      <x:c r="H149" s="16" t="str"/>
      <x:c r="I149" s="16" t="str">
        <x:v>2025-08-20—2025-08-31｜第47届世界桥牌团体锦标赛｜Venice Cup 女子团体｜CHINA</x:v>
      </x:c>
      <x:c r="J149" s="16" t="str"/>
    </x:row>
    <x:row r="150">
      <x:c r="A150" s="36" t="n">
        <x:v>133</x:v>
      </x:c>
      <x:c r="B150" s="36" t="str">
        <x:v>Jiawen Gu</x:v>
      </x:c>
      <x:c r="C150" s="64" t="str">
        <x:v>顾嘉雯</x:v>
      </x:c>
      <x:c r="D150" s="36" t="n">
        <x:v>0</x:v>
      </x:c>
      <x:c r="E150" s="36" t="n">
        <x:v>1</x:v>
      </x:c>
      <x:c r="F150" s="36" t="n">
        <x:v>0</x:v>
      </x:c>
      <x:c r="G150" s="36" t="n">
        <x:v>1</x:v>
      </x:c>
      <x:c r="H150" s="35" t="str"/>
      <x:c r="I150" s="35" t="str">
        <x:v>2026-08-03—2026-08-08｜第9届世界青年跨国锦标赛｜U31 Teams｜CHINA U31</x:v>
      </x:c>
      <x:c r="J150" s="35" t="str"/>
    </x:row>
    <x:row r="151">
      <x:c r="A151" s="17" t="n">
        <x:v>133</x:v>
      </x:c>
      <x:c r="B151" s="17" t="str">
        <x:v>Ke Guo</x:v>
      </x:c>
      <x:c r="C151" s="61" t="str">
        <x:v>郭珂</x:v>
      </x:c>
      <x:c r="D151" s="17" t="n">
        <x:v>0</x:v>
      </x:c>
      <x:c r="E151" s="17" t="n">
        <x:v>1</x:v>
      </x:c>
      <x:c r="F151" s="17" t="n">
        <x:v>0</x:v>
      </x:c>
      <x:c r="G151" s="17" t="n">
        <x:v>1</x:v>
      </x:c>
      <x:c r="H151" s="16" t="str"/>
      <x:c r="I151" s="16" t="str">
        <x:v>2025-08-20—2025-08-31｜第47届世界桥牌团体锦标赛｜Venice Cup 女子团体｜CHINA</x:v>
      </x:c>
      <x:c r="J151" s="16" t="str"/>
    </x:row>
    <x:row r="152">
      <x:c r="A152" s="36" t="n">
        <x:v>133</x:v>
      </x:c>
      <x:c r="B152" s="36" t="str">
        <x:v>Li Chen</x:v>
      </x:c>
      <x:c r="C152" s="67" t="str">
        <x:v>陈丽</x:v>
      </x:c>
      <x:c r="D152" s="36" t="n">
        <x:v>0</x:v>
      </x:c>
      <x:c r="E152" s="36" t="n">
        <x:v>1</x:v>
      </x:c>
      <x:c r="F152" s="36" t="n">
        <x:v>0</x:v>
      </x:c>
      <x:c r="G152" s="36" t="n">
        <x:v>1</x:v>
      </x:c>
      <x:c r="H152" s="35" t="str"/>
      <x:c r="I152" s="35" t="str">
        <x:v>2014-08-13—2014-08-23｜世界青年团体锦标赛｜U26 Women Teams｜CHINA</x:v>
      </x:c>
      <x:c r="J152" s="35" t="str"/>
    </x:row>
    <x:row r="153">
      <x:c r="A153" s="17" t="n">
        <x:v>133</x:v>
      </x:c>
      <x:c r="B153" s="17" t="str">
        <x:v>Luxi Gong</x:v>
      </x:c>
      <x:c r="C153" s="64" t="str">
        <x:v>龚露西</x:v>
      </x:c>
      <x:c r="D153" s="17" t="n">
        <x:v>0</x:v>
      </x:c>
      <x:c r="E153" s="17" t="n">
        <x:v>1</x:v>
      </x:c>
      <x:c r="F153" s="17" t="n">
        <x:v>0</x:v>
      </x:c>
      <x:c r="G153" s="17" t="n">
        <x:v>1</x:v>
      </x:c>
      <x:c r="H153" s="16" t="str"/>
      <x:c r="I153" s="16" t="str">
        <x:v>2026-08-03—2026-08-08｜第9届世界青年跨国锦标赛｜U26 Women Pairs｜Luxi Gong – Wanying Guo</x:v>
      </x:c>
      <x:c r="J153" s="16" t="str"/>
    </x:row>
    <x:row r="154">
      <x:c r="A154" s="36" t="n">
        <x:v>133</x:v>
      </x:c>
      <x:c r="B154" s="36" t="str">
        <x:v>Mingkun Shen</x:v>
      </x:c>
      <x:c r="C154" s="61" t="str">
        <x:v>沈明坤</x:v>
      </x:c>
      <x:c r="D154" s="36" t="n">
        <x:v>0</x:v>
      </x:c>
      <x:c r="E154" s="36" t="n">
        <x:v>1</x:v>
      </x:c>
      <x:c r="F154" s="36" t="n">
        <x:v>0</x:v>
      </x:c>
      <x:c r="G154" s="36" t="n">
        <x:v>1</x:v>
      </x:c>
      <x:c r="H154" s="35" t="str"/>
      <x:c r="I154" s="35" t="str">
        <x:v>2018｜世界桥牌综合锦标赛｜World Senior Teams 老年团体｜CHINA</x:v>
      </x:c>
      <x:c r="J154" s="35" t="str"/>
    </x:row>
    <x:row r="155">
      <x:c r="A155" s="17" t="n">
        <x:v>133</x:v>
      </x:c>
      <x:c r="B155" s="17" t="str">
        <x:v>Qian Sun</x:v>
      </x:c>
      <x:c r="C155" s="64" t="str">
        <x:v>孙倩</x:v>
      </x:c>
      <x:c r="D155" s="17" t="n">
        <x:v>0</x:v>
      </x:c>
      <x:c r="E155" s="17" t="n">
        <x:v>1</x:v>
      </x:c>
      <x:c r="F155" s="17" t="n">
        <x:v>0</x:v>
      </x:c>
      <x:c r="G155" s="17" t="n">
        <x:v>1</x:v>
      </x:c>
      <x:c r="H155" s="16" t="str"/>
      <x:c r="I155" s="16" t="str">
        <x:v>2018-08-08—2018-08-18｜世界青年团体锦标赛｜Youth BAM｜CHINA YOUNGSTERS</x:v>
      </x:c>
      <x:c r="J155" s="16" t="str"/>
    </x:row>
    <x:row r="156">
      <x:c r="A156" s="36" t="n">
        <x:v>133</x:v>
      </x:c>
      <x:c r="B156" s="36" t="str">
        <x:v>Qihao Wu</x:v>
      </x:c>
      <x:c r="C156" s="64" t="str">
        <x:v>吴启昊</x:v>
      </x:c>
      <x:c r="D156" s="36" t="n">
        <x:v>0</x:v>
      </x:c>
      <x:c r="E156" s="36" t="n">
        <x:v>1</x:v>
      </x:c>
      <x:c r="F156" s="36" t="n">
        <x:v>0</x:v>
      </x:c>
      <x:c r="G156" s="36" t="n">
        <x:v>1</x:v>
      </x:c>
      <x:c r="H156" s="35" t="str"/>
      <x:c r="I156" s="35" t="str">
        <x:v>2014-08-13—2014-08-23｜世界青年团体锦标赛｜U26 Women Teams｜CHINA</x:v>
      </x:c>
      <x:c r="J156" s="35" t="str"/>
    </x:row>
    <x:row r="157">
      <x:c r="A157" s="17" t="n">
        <x:v>133</x:v>
      </x:c>
      <x:c r="B157" s="17" t="str">
        <x:v>Rui Li</x:v>
      </x:c>
      <x:c r="C157" s="67" t="str">
        <x:v>李锐</x:v>
      </x:c>
      <x:c r="D157" s="17" t="n">
        <x:v>0</x:v>
      </x:c>
      <x:c r="E157" s="17" t="n">
        <x:v>1</x:v>
      </x:c>
      <x:c r="F157" s="17" t="n">
        <x:v>0</x:v>
      </x:c>
      <x:c r="G157" s="17" t="n">
        <x:v>1</x:v>
      </x:c>
      <x:c r="H157" s="16" t="str"/>
      <x:c r="I157" s="16" t="str">
        <x:v>2019-09｜世界桥牌团体锦标赛｜Transnational Open Teams 跨国公开团体｜CHINA</x:v>
      </x:c>
      <x:c r="J157" s="16" t="str"/>
    </x:row>
    <x:row r="158">
      <x:c r="A158" s="36" t="n">
        <x:v>133</x:v>
      </x:c>
      <x:c r="B158" s="36" t="str">
        <x:v>Shangjie Wu</x:v>
      </x:c>
      <x:c r="C158" s="67" t="str">
        <x:v>吴尚杰</x:v>
      </x:c>
      <x:c r="D158" s="36" t="n">
        <x:v>0</x:v>
      </x:c>
      <x:c r="E158" s="36" t="n">
        <x:v>1</x:v>
      </x:c>
      <x:c r="F158" s="36" t="n">
        <x:v>0</x:v>
      </x:c>
      <x:c r="G158" s="36" t="n">
        <x:v>1</x:v>
      </x:c>
      <x:c r="H158" s="35" t="str"/>
      <x:c r="I158" s="35" t="str">
        <x:v>2019-09｜世界桥牌团体锦标赛｜Transnational Open Teams 跨国公开团体｜CHINA</x:v>
      </x:c>
      <x:c r="J158" s="35" t="str"/>
    </x:row>
    <x:row r="159">
      <x:c r="A159" s="17" t="n">
        <x:v>133</x:v>
      </x:c>
      <x:c r="B159" s="17" t="str">
        <x:v>Shaohong Wu</x:v>
      </x:c>
      <x:c r="C159" s="61" t="str">
        <x:v>伍少红</x:v>
      </x:c>
      <x:c r="D159" s="17" t="n">
        <x:v>0</x:v>
      </x:c>
      <x:c r="E159" s="17" t="n">
        <x:v>1</x:v>
      </x:c>
      <x:c r="F159" s="17" t="n">
        <x:v>0</x:v>
      </x:c>
      <x:c r="G159" s="17" t="n">
        <x:v>1</x:v>
      </x:c>
      <x:c r="H159" s="16" t="str"/>
      <x:c r="I159" s="16" t="str">
        <x:v>2014-10｜世界桥牌综合锦标赛｜Women Teams 女子团体｜CHINA</x:v>
      </x:c>
      <x:c r="J159" s="16" t="str"/>
    </x:row>
    <x:row r="160">
      <x:c r="A160" s="36" t="n">
        <x:v>133</x:v>
      </x:c>
      <x:c r="B160" s="36" t="str">
        <x:v>Shengyue Gui</x:v>
      </x:c>
      <x:c r="C160" s="61" t="str">
        <x:v>桂生悦</x:v>
      </x:c>
      <x:c r="D160" s="36" t="n">
        <x:v>0</x:v>
      </x:c>
      <x:c r="E160" s="36" t="n">
        <x:v>1</x:v>
      </x:c>
      <x:c r="F160" s="36" t="n">
        <x:v>0</x:v>
      </x:c>
      <x:c r="G160" s="36" t="n">
        <x:v>1</x:v>
      </x:c>
      <x:c r="H160" s="35" t="str"/>
      <x:c r="I160" s="35" t="str">
        <x:v>2014-10｜世界桥牌综合锦标赛｜Mixed Teams 混合团体｜CHINA</x:v>
      </x:c>
      <x:c r="J160" s="35" t="str"/>
    </x:row>
    <x:row r="161">
      <x:c r="A161" s="17" t="n">
        <x:v>133</x:v>
      </x:c>
      <x:c r="B161" s="17" t="str">
        <x:v>Sili Liu</x:v>
      </x:c>
      <x:c r="C161" s="61" t="str">
        <x:v>刘思利</x:v>
      </x:c>
      <x:c r="D161" s="17" t="n">
        <x:v>0</x:v>
      </x:c>
      <x:c r="E161" s="17" t="n">
        <x:v>1</x:v>
      </x:c>
      <x:c r="F161" s="17" t="n">
        <x:v>0</x:v>
      </x:c>
      <x:c r="G161" s="17" t="n">
        <x:v>1</x:v>
      </x:c>
      <x:c r="H161" s="16" t="str"/>
      <x:c r="I161" s="16" t="str">
        <x:v>2016-08-03—2016-08-13｜世界青年团体锦标赛｜U26 Teams｜CHINA</x:v>
      </x:c>
      <x:c r="J161" s="16" t="str"/>
    </x:row>
    <x:row r="162">
      <x:c r="A162" s="36" t="n">
        <x:v>133</x:v>
      </x:c>
      <x:c r="B162" s="36" t="str">
        <x:v>Siyuan Shen</x:v>
      </x:c>
      <x:c r="C162" s="67" t="str">
        <x:v>沈思远</x:v>
      </x:c>
      <x:c r="D162" s="36" t="n">
        <x:v>0</x:v>
      </x:c>
      <x:c r="E162" s="36" t="n">
        <x:v>1</x:v>
      </x:c>
      <x:c r="F162" s="36" t="n">
        <x:v>0</x:v>
      </x:c>
      <x:c r="G162" s="36" t="n">
        <x:v>1</x:v>
      </x:c>
      <x:c r="H162" s="35" t="str"/>
      <x:c r="I162" s="35" t="str">
        <x:v>2019-09｜世界桥牌团体锦标赛｜Transnational Open Teams 跨国公开团体｜CHINA</x:v>
      </x:c>
      <x:c r="J162" s="35" t="str"/>
    </x:row>
    <x:row r="163">
      <x:c r="A163" s="17" t="n">
        <x:v>133</x:v>
      </x:c>
      <x:c r="B163" s="17" t="str">
        <x:v>Tianyu Zhang</x:v>
      </x:c>
      <x:c r="C163" s="64" t="str">
        <x:v>张天宇</x:v>
      </x:c>
      <x:c r="D163" s="17" t="n">
        <x:v>0</x:v>
      </x:c>
      <x:c r="E163" s="17" t="n">
        <x:v>1</x:v>
      </x:c>
      <x:c r="F163" s="17" t="n">
        <x:v>0</x:v>
      </x:c>
      <x:c r="G163" s="17" t="n">
        <x:v>1</x:v>
      </x:c>
      <x:c r="H163" s="16" t="str"/>
      <x:c r="I163" s="16" t="str">
        <x:v>2026-08-03—2026-08-08｜第9届世界青年跨国锦标赛｜U31 Teams｜CHINA U31</x:v>
      </x:c>
      <x:c r="J163" s="16" t="str"/>
    </x:row>
    <x:row r="164">
      <x:c r="A164" s="36" t="n">
        <x:v>133</x:v>
      </x:c>
      <x:c r="B164" s="36" t="str">
        <x:v>Tong Jiang</x:v>
      </x:c>
      <x:c r="C164" s="64" t="str">
        <x:v>江桐</x:v>
      </x:c>
      <x:c r="D164" s="36" t="n">
        <x:v>0</x:v>
      </x:c>
      <x:c r="E164" s="36" t="n">
        <x:v>1</x:v>
      </x:c>
      <x:c r="F164" s="36" t="n">
        <x:v>0</x:v>
      </x:c>
      <x:c r="G164" s="36" t="n">
        <x:v>1</x:v>
      </x:c>
      <x:c r="H164" s="35" t="str"/>
      <x:c r="I164" s="35" t="str">
        <x:v>2017｜世界桥牌团体锦标赛｜Transnational Open Teams 跨国公开团体｜TRANSNATIONAL TEAM</x:v>
      </x:c>
      <x:c r="J164" s="35" t="str"/>
    </x:row>
    <x:row r="165">
      <x:c r="A165" s="17" t="n">
        <x:v>133</x:v>
      </x:c>
      <x:c r="B165" s="17" t="str">
        <x:v>Wanying Guo</x:v>
      </x:c>
      <x:c r="C165" s="64" t="str">
        <x:v>郭婉莹</x:v>
      </x:c>
      <x:c r="D165" s="17" t="n">
        <x:v>0</x:v>
      </x:c>
      <x:c r="E165" s="17" t="n">
        <x:v>1</x:v>
      </x:c>
      <x:c r="F165" s="17" t="n">
        <x:v>0</x:v>
      </x:c>
      <x:c r="G165" s="17" t="n">
        <x:v>1</x:v>
      </x:c>
      <x:c r="H165" s="16" t="str"/>
      <x:c r="I165" s="16" t="str">
        <x:v>2026-08-03—2026-08-08｜第9届世界青年跨国锦标赛｜U26 Women Pairs｜Luxi Gong – Wanying Guo</x:v>
      </x:c>
      <x:c r="J165" s="16" t="str"/>
    </x:row>
    <x:row r="166">
      <x:c r="A166" s="36" t="n">
        <x:v>133</x:v>
      </x:c>
      <x:c r="B166" s="36" t="str">
        <x:v>Wenfei Yu</x:v>
      </x:c>
      <x:c r="C166" s="64" t="str">
        <x:v>于文菲</x:v>
      </x:c>
      <x:c r="D166" s="36" t="n">
        <x:v>0</x:v>
      </x:c>
      <x:c r="E166" s="36" t="n">
        <x:v>1</x:v>
      </x:c>
      <x:c r="F166" s="36" t="n">
        <x:v>0</x:v>
      </x:c>
      <x:c r="G166" s="36" t="n">
        <x:v>1</x:v>
      </x:c>
      <x:c r="H166" s="35" t="str"/>
      <x:c r="I166" s="35" t="str">
        <x:v>2019-08-20—2019-08-29｜第6届世界青年公开锦标赛｜U26 Women Teams｜SXPEONY</x:v>
      </x:c>
      <x:c r="J166" s="35" t="str"/>
    </x:row>
    <x:row r="167">
      <x:c r="A167" s="17" t="n">
        <x:v>133</x:v>
      </x:c>
      <x:c r="B167" s="17" t="str">
        <x:v>Xiaofeng Zhang</x:v>
      </x:c>
      <x:c r="C167" s="67" t="str">
        <x:v>张晓峰</x:v>
      </x:c>
      <x:c r="D167" s="17" t="n">
        <x:v>0</x:v>
      </x:c>
      <x:c r="E167" s="17" t="n">
        <x:v>1</x:v>
      </x:c>
      <x:c r="F167" s="17" t="n">
        <x:v>0</x:v>
      </x:c>
      <x:c r="G167" s="17" t="n">
        <x:v>1</x:v>
      </x:c>
      <x:c r="H167" s="16" t="str"/>
      <x:c r="I167" s="16" t="str">
        <x:v>2017｜世界桥牌团体锦标赛｜Transnational Open Teams 跨国公开团体｜TRANSNATIONAL TEAM</x:v>
      </x:c>
      <x:c r="J167" s="16" t="str"/>
    </x:row>
    <x:row r="168">
      <x:c r="A168" s="36" t="n">
        <x:v>133</x:v>
      </x:c>
      <x:c r="B168" s="36" t="str">
        <x:v>Xiaonong Shen</x:v>
      </x:c>
      <x:c r="C168" s="61" t="str">
        <x:v>沈小农</x:v>
      </x:c>
      <x:c r="D168" s="36" t="n">
        <x:v>0</x:v>
      </x:c>
      <x:c r="E168" s="36" t="n">
        <x:v>1</x:v>
      </x:c>
      <x:c r="F168" s="36" t="n">
        <x:v>0</x:v>
      </x:c>
      <x:c r="G168" s="36" t="n">
        <x:v>1</x:v>
      </x:c>
      <x:c r="H168" s="35" t="str"/>
      <x:c r="I168" s="35" t="str">
        <x:v>2018｜世界桥牌综合锦标赛｜World Senior Teams 老年团体｜CHINA</x:v>
      </x:c>
      <x:c r="J168" s="35" t="str"/>
    </x:row>
    <x:row r="169">
      <x:c r="A169" s="17" t="n">
        <x:v>133</x:v>
      </x:c>
      <x:c r="B169" s="17" t="str">
        <x:v>Xincheng Lyu</x:v>
      </x:c>
      <x:c r="C169" s="64" t="str">
        <x:v>吕欣城</x:v>
      </x:c>
      <x:c r="D169" s="17" t="n">
        <x:v>0</x:v>
      </x:c>
      <x:c r="E169" s="17" t="n">
        <x:v>1</x:v>
      </x:c>
      <x:c r="F169" s="17" t="n">
        <x:v>0</x:v>
      </x:c>
      <x:c r="G169" s="17" t="n">
        <x:v>1</x:v>
      </x:c>
      <x:c r="H169" s="16" t="str"/>
      <x:c r="I169" s="16" t="str">
        <x:v>2026-08-03—2026-08-08｜第9届世界青年跨国锦标赛｜U21 Teams｜CHINA RDFZ BAXI</x:v>
      </x:c>
      <x:c r="J169" s="16" t="str"/>
    </x:row>
    <x:row r="170">
      <x:c r="A170" s="36" t="n">
        <x:v>133</x:v>
      </x:c>
      <x:c r="B170" s="36" t="str">
        <x:v>Xuefang Yuan</x:v>
      </x:c>
      <x:c r="C170" s="61" t="str">
        <x:v>袁雪芳</x:v>
      </x:c>
      <x:c r="D170" s="36" t="n">
        <x:v>0</x:v>
      </x:c>
      <x:c r="E170" s="36" t="n">
        <x:v>1</x:v>
      </x:c>
      <x:c r="F170" s="36" t="n">
        <x:v>0</x:v>
      </x:c>
      <x:c r="G170" s="36" t="n">
        <x:v>1</x:v>
      </x:c>
      <x:c r="H170" s="35" t="str"/>
      <x:c r="I170" s="35" t="str">
        <x:v>2025-08-20—2025-08-31｜第47届世界桥牌团体锦标赛｜Venice Cup 女子团体｜CHINA</x:v>
      </x:c>
      <x:c r="J170" s="35" t="str"/>
    </x:row>
    <x:row r="171">
      <x:c r="A171" s="17" t="n">
        <x:v>133</x:v>
      </x:c>
      <x:c r="B171" s="17" t="str">
        <x:v>Yanfeng Chen</x:v>
      </x:c>
      <x:c r="C171" s="61" t="str">
        <x:v>陈彦丰</x:v>
      </x:c>
      <x:c r="D171" s="17" t="n">
        <x:v>0</x:v>
      </x:c>
      <x:c r="E171" s="17" t="n">
        <x:v>1</x:v>
      </x:c>
      <x:c r="F171" s="17" t="n">
        <x:v>0</x:v>
      </x:c>
      <x:c r="G171" s="17" t="n">
        <x:v>1</x:v>
      </x:c>
      <x:c r="H171" s="16" t="str"/>
      <x:c r="I171" s="16" t="str">
        <x:v>2016-08-03—2016-08-13｜世界青年团体锦标赛｜U26 Teams｜CHINA</x:v>
      </x:c>
      <x:c r="J171" s="16" t="str"/>
    </x:row>
    <x:row r="172">
      <x:c r="A172" s="36" t="n">
        <x:v>133</x:v>
      </x:c>
      <x:c r="B172" s="36" t="str">
        <x:v>Yanhui Sun</x:v>
      </x:c>
      <x:c r="C172" s="61" t="str">
        <x:v>孙燕慧</x:v>
      </x:c>
      <x:c r="D172" s="36" t="n">
        <x:v>0</x:v>
      </x:c>
      <x:c r="E172" s="36" t="n">
        <x:v>1</x:v>
      </x:c>
      <x:c r="F172" s="36" t="n">
        <x:v>0</x:v>
      </x:c>
      <x:c r="G172" s="36" t="n">
        <x:v>1</x:v>
      </x:c>
      <x:c r="H172" s="35" t="str"/>
      <x:c r="I172" s="35" t="str">
        <x:v>2024-10-22—2024-11-03｜第16届世界桥牌运动会｜Mixed Teams 混合团体｜CHINA</x:v>
      </x:c>
      <x:c r="J172" s="35" t="str"/>
    </x:row>
    <x:row r="173">
      <x:c r="A173" s="17" t="n">
        <x:v>133</x:v>
      </x:c>
      <x:c r="B173" s="17" t="str">
        <x:v>Yizheng Ge</x:v>
      </x:c>
      <x:c r="C173" s="64" t="str">
        <x:v>葛奕铮</x:v>
      </x:c>
      <x:c r="D173" s="17" t="n">
        <x:v>0</x:v>
      </x:c>
      <x:c r="E173" s="17" t="n">
        <x:v>1</x:v>
      </x:c>
      <x:c r="F173" s="17" t="n">
        <x:v>0</x:v>
      </x:c>
      <x:c r="G173" s="17" t="n">
        <x:v>1</x:v>
      </x:c>
      <x:c r="H173" s="16" t="str"/>
      <x:c r="I173" s="16" t="str">
        <x:v>2026-08-03—2026-08-08｜第9届世界青年跨国锦标赛｜U21 Teams｜CHINA RDFZ BAXI</x:v>
      </x:c>
      <x:c r="J173" s="16" t="str"/>
    </x:row>
    <x:row r="174">
      <x:c r="A174" s="36" t="n">
        <x:v>133</x:v>
      </x:c>
      <x:c r="B174" s="36" t="str">
        <x:v>Yong Tao</x:v>
      </x:c>
      <x:c r="C174" s="61" t="str">
        <x:v>陶涌</x:v>
      </x:c>
      <x:c r="D174" s="36" t="n">
        <x:v>0</x:v>
      </x:c>
      <x:c r="E174" s="36" t="n">
        <x:v>1</x:v>
      </x:c>
      <x:c r="F174" s="36" t="n">
        <x:v>0</x:v>
      </x:c>
      <x:c r="G174" s="36" t="n">
        <x:v>1</x:v>
      </x:c>
      <x:c r="H174" s="35" t="str"/>
      <x:c r="I174" s="35" t="str">
        <x:v>2016-08-03—2016-08-13｜世界青年团体锦标赛｜U26 Teams｜CHINA</x:v>
      </x:c>
      <x:c r="J174" s="35" t="str"/>
    </x:row>
    <x:row r="175">
      <x:c r="A175" s="17" t="n">
        <x:v>133</x:v>
      </x:c>
      <x:c r="B175" s="17" t="str">
        <x:v>Yu Yun</x:v>
      </x:c>
      <x:c r="C175" s="64" t="str">
        <x:v>云宇</x:v>
      </x:c>
      <x:c r="D175" s="17" t="n">
        <x:v>0</x:v>
      </x:c>
      <x:c r="E175" s="17" t="n">
        <x:v>1</x:v>
      </x:c>
      <x:c r="F175" s="17" t="n">
        <x:v>0</x:v>
      </x:c>
      <x:c r="G175" s="17" t="n">
        <x:v>1</x:v>
      </x:c>
      <x:c r="H175" s="16" t="str"/>
      <x:c r="I175" s="16" t="str">
        <x:v>2017-08-15—2017-08-24｜第5届世界青年公开锦标赛｜U21 Teams / Youngsters Teams｜SHENGXING TEAM</x:v>
      </x:c>
      <x:c r="J175" s="16" t="str"/>
    </x:row>
    <x:row r="176">
      <x:c r="A176" s="36" t="n">
        <x:v>133</x:v>
      </x:c>
      <x:c r="B176" s="36" t="str">
        <x:v>Yuantao Zheng</x:v>
      </x:c>
      <x:c r="C176" s="61" t="str">
        <x:v>郑源滔</x:v>
      </x:c>
      <x:c r="D176" s="36" t="n">
        <x:v>0</x:v>
      </x:c>
      <x:c r="E176" s="36" t="n">
        <x:v>1</x:v>
      </x:c>
      <x:c r="F176" s="36" t="n">
        <x:v>0</x:v>
      </x:c>
      <x:c r="G176" s="36" t="n">
        <x:v>1</x:v>
      </x:c>
      <x:c r="H176" s="35" t="str"/>
      <x:c r="I176" s="35" t="str">
        <x:v>2026-08-03—2026-08-08｜第9届世界青年跨国锦标赛｜U26 Pairs｜Chongshang Huang – Yuantao Zheng</x:v>
      </x:c>
      <x:c r="J176" s="35" t="str"/>
    </x:row>
    <x:row r="177">
      <x:c r="A177" s="17" t="n">
        <x:v>133</x:v>
      </x:c>
      <x:c r="B177" s="17" t="str">
        <x:v>Yuanzhe Ding</x:v>
      </x:c>
      <x:c r="C177" s="67" t="str">
        <x:v>丁元喆</x:v>
      </x:c>
      <x:c r="D177" s="17" t="n">
        <x:v>0</x:v>
      </x:c>
      <x:c r="E177" s="17" t="n">
        <x:v>1</x:v>
      </x:c>
      <x:c r="F177" s="17" t="n">
        <x:v>0</x:v>
      </x:c>
      <x:c r="G177" s="17" t="n">
        <x:v>1</x:v>
      </x:c>
      <x:c r="H177" s="16" t="str"/>
      <x:c r="I177" s="16" t="str">
        <x:v>2015-08-20—2015-08-29｜第4届世界青年公开锦标赛｜U16 Teams / Kids Teams｜CHINA RDFZ1</x:v>
      </x:c>
      <x:c r="J177" s="16" t="str"/>
    </x:row>
    <x:row r="178">
      <x:c r="A178" s="36" t="n">
        <x:v>133</x:v>
      </x:c>
      <x:c r="B178" s="36" t="str">
        <x:v>Yue Yu</x:v>
      </x:c>
      <x:c r="C178" s="64" t="str">
        <x:v>余悦</x:v>
      </x:c>
      <x:c r="D178" s="36" t="n">
        <x:v>0</x:v>
      </x:c>
      <x:c r="E178" s="36" t="n">
        <x:v>1</x:v>
      </x:c>
      <x:c r="F178" s="36" t="n">
        <x:v>0</x:v>
      </x:c>
      <x:c r="G178" s="36" t="n">
        <x:v>1</x:v>
      </x:c>
      <x:c r="H178" s="35" t="str"/>
      <x:c r="I178" s="35" t="str">
        <x:v>2015-08-20—2015-08-29｜第4届世界青年公开锦标赛｜U26 Women Teams / Girls Teams｜SX XHLD</x:v>
      </x:c>
      <x:c r="J178" s="35" t="str"/>
    </x:row>
    <x:row r="179">
      <x:c r="A179" s="17" t="n">
        <x:v>133</x:v>
      </x:c>
      <x:c r="B179" s="17" t="str">
        <x:v>Yuegang Kuang</x:v>
      </x:c>
      <x:c r="C179" s="61" t="str">
        <x:v>旷跃纲</x:v>
      </x:c>
      <x:c r="D179" s="17" t="n">
        <x:v>0</x:v>
      </x:c>
      <x:c r="E179" s="17" t="n">
        <x:v>1</x:v>
      </x:c>
      <x:c r="F179" s="17" t="n">
        <x:v>0</x:v>
      </x:c>
      <x:c r="G179" s="17" t="n">
        <x:v>1</x:v>
      </x:c>
      <x:c r="H179" s="16" t="str"/>
      <x:c r="I179" s="16" t="str">
        <x:v>2024-10-22—2024-11-03｜第16届世界桥牌运动会｜Mixed Teams 混合团体｜CHINA</x:v>
      </x:c>
      <x:c r="J179" s="16" t="str"/>
    </x:row>
    <x:row r="180">
      <x:c r="A180" s="36" t="n">
        <x:v>133</x:v>
      </x:c>
      <x:c r="B180" s="36" t="str">
        <x:v>Yuxuan Liu</x:v>
      </x:c>
      <x:c r="C180" s="64" t="str">
        <x:v>刘宇轩</x:v>
      </x:c>
      <x:c r="D180" s="36" t="n">
        <x:v>0</x:v>
      </x:c>
      <x:c r="E180" s="36" t="n">
        <x:v>1</x:v>
      </x:c>
      <x:c r="F180" s="36" t="n">
        <x:v>0</x:v>
      </x:c>
      <x:c r="G180" s="36" t="n">
        <x:v>1</x:v>
      </x:c>
      <x:c r="H180" s="35" t="str"/>
      <x:c r="I180" s="35" t="str">
        <x:v>2026-08-03—2026-08-08｜第9届世界青年跨国锦标赛｜U21 Pairs｜Jeff Xiao – Yuxuan Liu</x:v>
      </x:c>
      <x:c r="J180" s="35" t="str"/>
    </x:row>
    <x:row r="181">
      <x:c r="A181" s="17" t="n">
        <x:v>133</x:v>
      </x:c>
      <x:c r="B181" s="17" t="str">
        <x:v>Zhengjiang Liao</x:v>
      </x:c>
      <x:c r="C181" s="61" t="str">
        <x:v>廖正江</x:v>
      </x:c>
      <x:c r="D181" s="17" t="n">
        <x:v>0</x:v>
      </x:c>
      <x:c r="E181" s="17" t="n">
        <x:v>1</x:v>
      </x:c>
      <x:c r="F181" s="17" t="n">
        <x:v>0</x:v>
      </x:c>
      <x:c r="G181" s="17" t="n">
        <x:v>1</x:v>
      </x:c>
      <x:c r="H181" s="16" t="str"/>
      <x:c r="I181" s="16" t="str">
        <x:v>2025-08-20—2025-08-31｜第47届世界桥牌团体锦标赛｜Venice Cup 女子团体｜CHINA</x:v>
      </x:c>
      <x:c r="J181" s="16" t="str"/>
    </x:row>
    <x:row r="182">
      <x:c r="A182" s="36" t="n">
        <x:v>133</x:v>
      </x:c>
      <x:c r="B182" s="36" t="str">
        <x:v>Zhi Tang</x:v>
      </x:c>
      <x:c r="C182" s="61" t="str">
        <x:v>唐志</x:v>
      </x:c>
      <x:c r="D182" s="36" t="n">
        <x:v>0</x:v>
      </x:c>
      <x:c r="E182" s="36" t="n">
        <x:v>1</x:v>
      </x:c>
      <x:c r="F182" s="36" t="n">
        <x:v>0</x:v>
      </x:c>
      <x:c r="G182" s="36" t="n">
        <x:v>1</x:v>
      </x:c>
      <x:c r="H182" s="35" t="str"/>
      <x:c r="I182" s="35" t="str">
        <x:v>2016-08-03—2016-08-13｜世界青年团体锦标赛｜U26 Teams｜CHINA</x:v>
      </x:c>
      <x:c r="J182" s="35" t="str"/>
    </x:row>
    <x:row r="183">
      <x:c r="A183" s="17" t="n">
        <x:v>133</x:v>
      </x:c>
      <x:c r="B183" s="17" t="str">
        <x:v>Zi Jian Shao</x:v>
      </x:c>
      <x:c r="C183" s="61" t="str">
        <x:v>邵子健</x:v>
      </x:c>
      <x:c r="D183" s="17" t="n">
        <x:v>0</x:v>
      </x:c>
      <x:c r="E183" s="17" t="n">
        <x:v>1</x:v>
      </x:c>
      <x:c r="F183" s="17" t="n">
        <x:v>0</x:v>
      </x:c>
      <x:c r="G183" s="17" t="n">
        <x:v>1</x:v>
      </x:c>
      <x:c r="H183" s="16" t="str"/>
      <x:c r="I183" s="16" t="str">
        <x:v>2013｜世界桥牌团体锦标赛｜Transnational Open Teams 跨国公开团体｜CHINA</x:v>
      </x:c>
      <x:c r="J183" s="16" t="str"/>
    </x:row>
    <x:row r="184">
      <x:c r="A184" s="36" t="n">
        <x:v>133</x:v>
      </x:c>
      <x:c r="B184" s="36" t="str">
        <x:v>Zijian Shao</x:v>
      </x:c>
      <x:c r="C184" s="61" t="str">
        <x:v>邵子健</x:v>
      </x:c>
      <x:c r="D184" s="36" t="n">
        <x:v>0</x:v>
      </x:c>
      <x:c r="E184" s="36" t="n">
        <x:v>1</x:v>
      </x:c>
      <x:c r="F184" s="36" t="n">
        <x:v>0</x:v>
      </x:c>
      <x:c r="G184" s="36" t="n">
        <x:v>1</x:v>
      </x:c>
      <x:c r="H184" s="35" t="str"/>
      <x:c r="I184" s="35" t="str">
        <x:v>2025-08-20—2025-08-31｜第47届世界桥牌团体锦标赛｜Wuhan Cup 混合团体｜CHINA</x:v>
      </x:c>
      <x:c r="J184" s="35" t="str"/>
    </x:row>
    <x:row r="185">
      <x:c r="A185" s="17" t="n">
        <x:v>133</x:v>
      </x:c>
      <x:c r="B185" s="17" t="str">
        <x:v>Zixi Cai</x:v>
      </x:c>
      <x:c r="C185" s="64" t="str">
        <x:v>蔡子熙</x:v>
      </x:c>
      <x:c r="D185" s="17" t="n">
        <x:v>0</x:v>
      </x:c>
      <x:c r="E185" s="17" t="n">
        <x:v>1</x:v>
      </x:c>
      <x:c r="F185" s="17" t="n">
        <x:v>0</x:v>
      </x:c>
      <x:c r="G185" s="17" t="n">
        <x:v>1</x:v>
      </x:c>
      <x:c r="H185" s="16" t="str"/>
      <x:c r="I185" s="16" t="str">
        <x:v>2015-08-20—2015-08-29｜第4届世界青年公开锦标赛｜U16 Teams / Kids Teams｜CHINA RDFZ1</x:v>
      </x:c>
      <x:c r="J185" s="16" t="str"/>
    </x:row>
    <x:row r="186">
      <x:c r="A186" s="36" t="n">
        <x:v>182</x:v>
      </x:c>
      <x:c r="B186" s="36" t="str">
        <x:v>Hao Xu</x:v>
      </x:c>
      <x:c r="C186" s="64" t="str">
        <x:v>徐浩</x:v>
      </x:c>
      <x:c r="D186" s="36" t="n">
        <x:v>0</x:v>
      </x:c>
      <x:c r="E186" s="36" t="n">
        <x:v>0</x:v>
      </x:c>
      <x:c r="F186" s="36" t="n">
        <x:v>3</x:v>
      </x:c>
      <x:c r="G186" s="36" t="n">
        <x:v>3</x:v>
      </x:c>
      <x:c r="H186" s="35" t="str"/>
      <x:c r="I186" s="35" t="str"/>
      <x:c r="J186" s="35" t="str">
        <x:v>2017-08-15—2017-08-24｜第5届世界青年公开锦标赛｜U16 BAM｜SHENGXING SATURN
2017-08-15—2017-08-24｜第5届世界青年公开锦标赛｜U16 Teams / Kids Teams｜SHENGXING SATURN
2019-08-20—2019-08-29｜第6届世界青年公开锦标赛｜Youth BAM｜SXNEBULA</x:v>
      </x:c>
    </x:row>
    <x:row r="187">
      <x:c r="A187" s="17" t="n">
        <x:v>182</x:v>
      </x:c>
      <x:c r="B187" s="17" t="str">
        <x:v>Jiahao Yang</x:v>
      </x:c>
      <x:c r="C187" s="64" t="str">
        <x:v>杨嘉豪</x:v>
      </x:c>
      <x:c r="D187" s="17" t="n">
        <x:v>0</x:v>
      </x:c>
      <x:c r="E187" s="17" t="n">
        <x:v>0</x:v>
      </x:c>
      <x:c r="F187" s="17" t="n">
        <x:v>3</x:v>
      </x:c>
      <x:c r="G187" s="17" t="n">
        <x:v>3</x:v>
      </x:c>
      <x:c r="H187" s="16" t="str"/>
      <x:c r="I187" s="16" t="str"/>
      <x:c r="J187" s="16" t="str">
        <x:v>2017-08-15—2017-08-24｜第5届世界青年公开锦标赛｜U16 BAM｜SHENGXING SATURN
2017-08-15—2017-08-24｜第5届世界青年公开锦标赛｜U16 Teams / Kids Teams｜SHENGXING SATURN
2019-08-20—2019-08-29｜第6届世界青年公开锦标赛｜Youth BAM｜SXNEBULA</x:v>
      </x:c>
    </x:row>
    <x:row r="188">
      <x:c r="A188" s="36" t="n">
        <x:v>182</x:v>
      </x:c>
      <x:c r="B188" s="36" t="str">
        <x:v>Junjie Hu</x:v>
      </x:c>
      <x:c r="C188" s="61" t="str">
        <x:v>胡俊杰</x:v>
      </x:c>
      <x:c r="D188" s="36" t="n">
        <x:v>0</x:v>
      </x:c>
      <x:c r="E188" s="36" t="n">
        <x:v>0</x:v>
      </x:c>
      <x:c r="F188" s="36" t="n">
        <x:v>3</x:v>
      </x:c>
      <x:c r="G188" s="36" t="n">
        <x:v>3</x:v>
      </x:c>
      <x:c r="H188" s="35" t="str"/>
      <x:c r="I188" s="35" t="str"/>
      <x:c r="J188" s="35" t="str">
        <x:v>2008-10-03—2008-10-18｜第1届世界智力运动会 / 世界桥牌运动会｜U21 Teams 青年团体｜CHINA
2010-10｜世界青年团体锦标赛｜U26 Teams｜CHINA
2012-07-25—2012-08-04｜世界青年团体锦标赛｜U26 Teams｜CHINA</x:v>
      </x:c>
    </x:row>
    <x:row r="189">
      <x:c r="A189" s="17" t="n">
        <x:v>182</x:v>
      </x:c>
      <x:c r="B189" s="17" t="str">
        <x:v>Licong Cheng</x:v>
      </x:c>
      <x:c r="C189" s="67" t="str">
        <x:v>程立聪</x:v>
      </x:c>
      <x:c r="D189" s="17" t="n">
        <x:v>0</x:v>
      </x:c>
      <x:c r="E189" s="17" t="n">
        <x:v>0</x:v>
      </x:c>
      <x:c r="F189" s="17" t="n">
        <x:v>3</x:v>
      </x:c>
      <x:c r="G189" s="17" t="n">
        <x:v>3</x:v>
      </x:c>
      <x:c r="H189" s="16" t="str"/>
      <x:c r="I189" s="16" t="str"/>
      <x:c r="J189" s="16" t="str">
        <x:v>2017-08-15—2017-08-24｜第5届世界青年公开锦标赛｜U16 BAM｜SHENGXING SATURN
2017-08-15—2017-08-24｜第5届世界青年公开锦标赛｜U16 Pairs / Kids Pairs｜Licong Cheng – Penghao Wang
2017-08-15—2017-08-24｜第5届世界青年公开锦标赛｜U16 Teams / Kids Teams｜SHENGXING SATURN</x:v>
      </x:c>
    </x:row>
    <x:row r="190">
      <x:c r="A190" s="36" t="n">
        <x:v>186</x:v>
      </x:c>
      <x:c r="B190" s="36" t="str">
        <x:v>Hanyang Dai</x:v>
      </x:c>
      <x:c r="C190" s="64" t="str">
        <x:v>戴涵洋</x:v>
      </x:c>
      <x:c r="D190" s="36" t="n">
        <x:v>0</x:v>
      </x:c>
      <x:c r="E190" s="36" t="n">
        <x:v>0</x:v>
      </x:c>
      <x:c r="F190" s="36" t="n">
        <x:v>2</x:v>
      </x:c>
      <x:c r="G190" s="36" t="n">
        <x:v>2</x:v>
      </x:c>
      <x:c r="H190" s="35" t="str"/>
      <x:c r="I190" s="35" t="str"/>
      <x:c r="J190" s="35" t="str">
        <x:v>2015-08-20—2015-08-29｜第4届世界青年公开锦标赛｜U16 Teams / Kids Teams｜SX XNWY
2019-08-20—2019-08-29｜第6届世界青年公开锦标赛｜Youth BAM｜SXNEBULA</x:v>
      </x:c>
    </x:row>
    <x:row r="191">
      <x:c r="A191" s="17" t="n">
        <x:v>186</x:v>
      </x:c>
      <x:c r="B191" s="17" t="str">
        <x:v>Kai Jin</x:v>
      </x:c>
      <x:c r="C191" s="64" t="str">
        <x:v>金凯</x:v>
      </x:c>
      <x:c r="D191" s="17" t="n">
        <x:v>0</x:v>
      </x:c>
      <x:c r="E191" s="17" t="n">
        <x:v>0</x:v>
      </x:c>
      <x:c r="F191" s="17" t="n">
        <x:v>2</x:v>
      </x:c>
      <x:c r="G191" s="17" t="n">
        <x:v>2</x:v>
      </x:c>
      <x:c r="H191" s="16" t="str"/>
      <x:c r="I191" s="16" t="str"/>
      <x:c r="J191" s="16" t="str">
        <x:v>2013｜第3届世界青年公开锦标赛｜U21 Pairs / Youngsters Pairs｜Kai Jin – Tianyi Jin
2013｜第3届世界青年公开锦标赛｜U21 Teams / Youngsters Teams｜CHINA XNWY</x:v>
      </x:c>
    </x:row>
    <x:row r="192">
      <x:c r="A192" s="36" t="n">
        <x:v>186</x:v>
      </x:c>
      <x:c r="B192" s="36" t="str">
        <x:v>Tianyi Jin</x:v>
      </x:c>
      <x:c r="C192" s="64" t="str">
        <x:v>金天一</x:v>
      </x:c>
      <x:c r="D192" s="36" t="n">
        <x:v>0</x:v>
      </x:c>
      <x:c r="E192" s="36" t="n">
        <x:v>0</x:v>
      </x:c>
      <x:c r="F192" s="36" t="n">
        <x:v>2</x:v>
      </x:c>
      <x:c r="G192" s="36" t="n">
        <x:v>2</x:v>
      </x:c>
      <x:c r="H192" s="35" t="str"/>
      <x:c r="I192" s="35" t="str"/>
      <x:c r="J192" s="35" t="str">
        <x:v>2013｜第3届世界青年公开锦标赛｜U21 Pairs / Youngsters Pairs｜Kai Jin – Tianyi Jin
2013｜第3届世界青年公开锦标赛｜U21 Teams / Youngsters Teams｜CHINA XNWY</x:v>
      </x:c>
    </x:row>
    <x:row r="193">
      <x:c r="A193" s="17" t="n">
        <x:v>186</x:v>
      </x:c>
      <x:c r="B193" s="17" t="str">
        <x:v>Yinpei Shao</x:v>
      </x:c>
      <x:c r="C193" s="64" t="str">
        <x:v>邵寅培</x:v>
      </x:c>
      <x:c r="D193" s="17" t="n">
        <x:v>0</x:v>
      </x:c>
      <x:c r="E193" s="17" t="n">
        <x:v>0</x:v>
      </x:c>
      <x:c r="F193" s="17" t="n">
        <x:v>2</x:v>
      </x:c>
      <x:c r="G193" s="17" t="n">
        <x:v>2</x:v>
      </x:c>
      <x:c r="H193" s="16" t="str"/>
      <x:c r="I193" s="16" t="str"/>
      <x:c r="J193" s="16" t="str">
        <x:v>2010-10｜世界青年团体锦标赛｜U26 Teams｜CHINA
2012-07-25—2012-08-04｜世界青年团体锦标赛｜U26 Teams｜CHINA</x:v>
      </x:c>
    </x:row>
    <x:row r="194">
      <x:c r="A194" s="36" t="n">
        <x:v>186</x:v>
      </x:c>
      <x:c r="B194" s="36" t="str">
        <x:v>Yujie Jiang</x:v>
      </x:c>
      <x:c r="C194" s="67" t="str">
        <x:v>蒋宇杰</x:v>
      </x:c>
      <x:c r="D194" s="36" t="n">
        <x:v>0</x:v>
      </x:c>
      <x:c r="E194" s="36" t="n">
        <x:v>0</x:v>
      </x:c>
      <x:c r="F194" s="36" t="n">
        <x:v>2</x:v>
      </x:c>
      <x:c r="G194" s="36" t="n">
        <x:v>2</x:v>
      </x:c>
      <x:c r="H194" s="35" t="str"/>
      <x:c r="I194" s="35" t="str"/>
      <x:c r="J194" s="35" t="str">
        <x:v>2008-10-03—2008-10-18｜第1届世界智力运动会 / 世界桥牌运动会｜U21 Teams 青年团体｜CHINA
2012-07-25—2012-08-04｜世界青年团体锦标赛｜U26 Teams｜CHINA</x:v>
      </x:c>
    </x:row>
    <x:row r="195">
      <x:c r="A195" s="17" t="n">
        <x:v>191</x:v>
      </x:c>
      <x:c r="B195" s="17" t="str">
        <x:v>Bangxiang Zhang</x:v>
      </x:c>
      <x:c r="C195" s="61" t="str">
        <x:v>张邦祥</x:v>
      </x:c>
      <x:c r="D195" s="17" t="n">
        <x:v>0</x:v>
      </x:c>
      <x:c r="E195" s="17" t="n">
        <x:v>0</x:v>
      </x:c>
      <x:c r="F195" s="17" t="n">
        <x:v>1</x:v>
      </x:c>
      <x:c r="G195" s="17" t="n">
        <x:v>1</x:v>
      </x:c>
      <x:c r="H195" s="16" t="str"/>
      <x:c r="I195" s="16" t="str"/>
      <x:c r="J195" s="16" t="str">
        <x:v>2014-10｜世界桥牌综合锦标赛｜Mixed Pairs 混合双人｜Bangxiang Zhang – Nan Wang</x:v>
      </x:c>
    </x:row>
    <x:row r="196">
      <x:c r="A196" s="36" t="n">
        <x:v>191</x:v>
      </x:c>
      <x:c r="B196" s="36" t="str">
        <x:v>Bing Du</x:v>
      </x:c>
      <x:c r="C196" s="61" t="str">
        <x:v>杜冰</x:v>
      </x:c>
      <x:c r="D196" s="36" t="n">
        <x:v>0</x:v>
      </x:c>
      <x:c r="E196" s="36" t="n">
        <x:v>0</x:v>
      </x:c>
      <x:c r="F196" s="36" t="n">
        <x:v>1</x:v>
      </x:c>
      <x:c r="G196" s="36" t="n">
        <x:v>1</x:v>
      </x:c>
      <x:c r="H196" s="35" t="str"/>
      <x:c r="I196" s="35" t="str"/>
      <x:c r="J196" s="35" t="str">
        <x:v>2008-10-03—2008-10-18｜第1届世界智力运动会 / 世界桥牌运动会｜Transnational Mixed Teams 跨国混合团体｜A-EVERTRUST HOLDING GROUP</x:v>
      </x:c>
    </x:row>
    <x:row r="197">
      <x:c r="A197" s="17" t="n">
        <x:v>191</x:v>
      </x:c>
      <x:c r="B197" s="17" t="str">
        <x:v>Can Ge</x:v>
      </x:c>
      <x:c r="C197" s="64" t="str">
        <x:v>葛灿</x:v>
      </x:c>
      <x:c r="D197" s="17" t="n">
        <x:v>0</x:v>
      </x:c>
      <x:c r="E197" s="17" t="n">
        <x:v>0</x:v>
      </x:c>
      <x:c r="F197" s="17" t="n">
        <x:v>1</x:v>
      </x:c>
      <x:c r="G197" s="17" t="n">
        <x:v>1</x:v>
      </x:c>
      <x:c r="H197" s="16" t="str"/>
      <x:c r="I197" s="16" t="str"/>
      <x:c r="J197" s="16" t="str">
        <x:v>2026-08-03—2026-08-08｜第9届世界青年跨国锦标赛｜U26 Women Teams｜SHANDONG YANTAI</x:v>
      </x:c>
    </x:row>
    <x:row r="198">
      <x:c r="A198" s="36" t="n">
        <x:v>191</x:v>
      </x:c>
      <x:c r="B198" s="36" t="str">
        <x:v>Cheng Lin</x:v>
      </x:c>
      <x:c r="C198" s="64" t="str">
        <x:v>林成</x:v>
      </x:c>
      <x:c r="D198" s="36" t="n">
        <x:v>0</x:v>
      </x:c>
      <x:c r="E198" s="36" t="n">
        <x:v>0</x:v>
      </x:c>
      <x:c r="F198" s="36" t="n">
        <x:v>1</x:v>
      </x:c>
      <x:c r="G198" s="36" t="n">
        <x:v>1</x:v>
      </x:c>
      <x:c r="H198" s="35" t="str"/>
      <x:c r="I198" s="35" t="str"/>
      <x:c r="J198" s="35" t="str">
        <x:v>2026-08-03—2026-08-08｜第9届世界青年跨国锦标赛｜U16 Teams｜SHANGHAI NTBC TANK</x:v>
      </x:c>
    </x:row>
    <x:row r="199">
      <x:c r="A199" s="17" t="n">
        <x:v>191</x:v>
      </x:c>
      <x:c r="B199" s="17" t="str">
        <x:v>Chenyang Xiong</x:v>
      </x:c>
      <x:c r="C199" s="64" t="str">
        <x:v>熊晨阳</x:v>
      </x:c>
      <x:c r="D199" s="17" t="n">
        <x:v>0</x:v>
      </x:c>
      <x:c r="E199" s="17" t="n">
        <x:v>0</x:v>
      </x:c>
      <x:c r="F199" s="17" t="n">
        <x:v>1</x:v>
      </x:c>
      <x:c r="G199" s="17" t="n">
        <x:v>1</x:v>
      </x:c>
      <x:c r="H199" s="16" t="str"/>
      <x:c r="I199" s="16" t="str"/>
      <x:c r="J199" s="16" t="str">
        <x:v>2026-08-03—2026-08-08｜第9届世界青年跨国锦标赛｜U16 Teams｜SHANGHAI NTBC TANK</x:v>
      </x:c>
    </x:row>
    <x:row r="200">
      <x:c r="A200" s="36" t="n">
        <x:v>191</x:v>
      </x:c>
      <x:c r="B200" s="36" t="str">
        <x:v>Chujia Pan</x:v>
      </x:c>
      <x:c r="C200" s="64" t="str">
        <x:v>潘楚佳</x:v>
      </x:c>
      <x:c r="D200" s="36" t="n">
        <x:v>0</x:v>
      </x:c>
      <x:c r="E200" s="36" t="n">
        <x:v>0</x:v>
      </x:c>
      <x:c r="F200" s="36" t="n">
        <x:v>1</x:v>
      </x:c>
      <x:c r="G200" s="36" t="n">
        <x:v>1</x:v>
      </x:c>
      <x:c r="H200" s="35" t="str"/>
      <x:c r="I200" s="35" t="str"/>
      <x:c r="J200" s="35" t="str">
        <x:v>2025-07-12—2025-07-17｜第19届世界青年团体锦标赛｜U26 Women Teams｜CHINA</x:v>
      </x:c>
    </x:row>
    <x:row r="201">
      <x:c r="A201" s="17" t="n">
        <x:v>191</x:v>
      </x:c>
      <x:c r="B201" s="17" t="str">
        <x:v>Chunhui Dong</x:v>
      </x:c>
      <x:c r="C201" s="67" t="str">
        <x:v>董春辉</x:v>
      </x:c>
      <x:c r="D201" s="17" t="n">
        <x:v>0</x:v>
      </x:c>
      <x:c r="E201" s="17" t="n">
        <x:v>0</x:v>
      </x:c>
      <x:c r="F201" s="17" t="n">
        <x:v>1</x:v>
      </x:c>
      <x:c r="G201" s="17" t="n">
        <x:v>1</x:v>
      </x:c>
      <x:c r="H201" s="16" t="str"/>
      <x:c r="I201" s="16" t="str"/>
      <x:c r="J201" s="16" t="str">
        <x:v>2008-10-03—2008-10-18｜第1届世界智力运动会 / 世界桥牌运动会｜U21 Teams 青年团体｜CHINA</x:v>
      </x:c>
    </x:row>
    <x:row r="202">
      <x:c r="A202" s="36" t="n">
        <x:v>191</x:v>
      </x:c>
      <x:c r="B202" s="36" t="str">
        <x:v>Di Wang</x:v>
      </x:c>
      <x:c r="C202" s="64" t="str">
        <x:v>王迪</x:v>
      </x:c>
      <x:c r="D202" s="36" t="n">
        <x:v>0</x:v>
      </x:c>
      <x:c r="E202" s="36" t="n">
        <x:v>0</x:v>
      </x:c>
      <x:c r="F202" s="36" t="n">
        <x:v>1</x:v>
      </x:c>
      <x:c r="G202" s="36" t="n">
        <x:v>1</x:v>
      </x:c>
      <x:c r="H202" s="35" t="str"/>
      <x:c r="I202" s="35" t="str"/>
      <x:c r="J202" s="35" t="str">
        <x:v>2026-08-03—2026-08-08｜第9届世界青年跨国锦标赛｜U16 Teams｜SHANGHAI NTBC TANK</x:v>
      </x:c>
    </x:row>
    <x:row r="203">
      <x:c r="A203" s="17" t="n">
        <x:v>191</x:v>
      </x:c>
      <x:c r="B203" s="17" t="str">
        <x:v>Di Zhuo</x:v>
      </x:c>
      <x:c r="C203" s="64" t="str">
        <x:v>卓迪</x:v>
      </x:c>
      <x:c r="D203" s="17" t="n">
        <x:v>0</x:v>
      </x:c>
      <x:c r="E203" s="17" t="n">
        <x:v>0</x:v>
      </x:c>
      <x:c r="F203" s="17" t="n">
        <x:v>1</x:v>
      </x:c>
      <x:c r="G203" s="17" t="n">
        <x:v>1</x:v>
      </x:c>
      <x:c r="H203" s="16" t="str"/>
      <x:c r="I203" s="16" t="str"/>
      <x:c r="J203" s="16" t="str">
        <x:v>2010-10｜世界青年团体锦标赛｜U26 Teams｜CHINA</x:v>
      </x:c>
    </x:row>
    <x:row r="204">
      <x:c r="A204" s="36" t="n">
        <x:v>191</x:v>
      </x:c>
      <x:c r="B204" s="36" t="str">
        <x:v>Felicia Yu</x:v>
      </x:c>
      <x:c r="C204" s="69" t="str"/>
      <x:c r="D204" s="36" t="n">
        <x:v>0</x:v>
      </x:c>
      <x:c r="E204" s="36" t="n">
        <x:v>0</x:v>
      </x:c>
      <x:c r="F204" s="36" t="n">
        <x:v>1</x:v>
      </x:c>
      <x:c r="G204" s="36" t="n">
        <x:v>1</x:v>
      </x:c>
      <x:c r="H204" s="35" t="str"/>
      <x:c r="I204" s="35" t="str"/>
      <x:c r="J204" s="35" t="str">
        <x:v>2013｜第3届世界青年公开锦标赛｜U21 Teams / Youngsters Teams｜CHINA XNWY</x:v>
      </x:c>
    </x:row>
    <x:row r="205">
      <x:c r="A205" s="17" t="n">
        <x:v>191</x:v>
      </x:c>
      <x:c r="B205" s="17" t="str">
        <x:v>Guangli Wendy Liu</x:v>
      </x:c>
      <x:c r="C205" s="69" t="str"/>
      <x:c r="D205" s="17" t="n">
        <x:v>0</x:v>
      </x:c>
      <x:c r="E205" s="17" t="n">
        <x:v>0</x:v>
      </x:c>
      <x:c r="F205" s="17" t="n">
        <x:v>1</x:v>
      </x:c>
      <x:c r="G205" s="17" t="n">
        <x:v>1</x:v>
      </x:c>
      <x:c r="H205" s="16" t="str"/>
      <x:c r="I205" s="16" t="str"/>
      <x:c r="J205" s="16" t="str">
        <x:v>2015-08-20—2015-08-29｜第4届世界青年公开锦标赛｜U26 Women Teams / Girls Teams｜CHINA RDFZ GIRLS</x:v>
      </x:c>
    </x:row>
    <x:row r="206">
      <x:c r="A206" s="36" t="n">
        <x:v>191</x:v>
      </x:c>
      <x:c r="B206" s="36" t="str">
        <x:v>Jiahe Shen</x:v>
      </x:c>
      <x:c r="C206" s="64" t="str">
        <x:v>沈嘉禾</x:v>
      </x:c>
      <x:c r="D206" s="36" t="n">
        <x:v>0</x:v>
      </x:c>
      <x:c r="E206" s="36" t="n">
        <x:v>0</x:v>
      </x:c>
      <x:c r="F206" s="36" t="n">
        <x:v>1</x:v>
      </x:c>
      <x:c r="G206" s="36" t="n">
        <x:v>1</x:v>
      </x:c>
      <x:c r="H206" s="35" t="str"/>
      <x:c r="I206" s="35" t="str"/>
      <x:c r="J206" s="35" t="str">
        <x:v>2014-08-13—2014-08-23｜世界青年团体锦标赛｜U16 Teams｜CHINA</x:v>
      </x:c>
    </x:row>
    <x:row r="207">
      <x:c r="A207" s="17" t="n">
        <x:v>191</x:v>
      </x:c>
      <x:c r="B207" s="17" t="str">
        <x:v>Jianqiu Shen</x:v>
      </x:c>
      <x:c r="C207" s="69" t="str"/>
      <x:c r="D207" s="17" t="n">
        <x:v>0</x:v>
      </x:c>
      <x:c r="E207" s="17" t="n">
        <x:v>0</x:v>
      </x:c>
      <x:c r="F207" s="17" t="n">
        <x:v>1</x:v>
      </x:c>
      <x:c r="G207" s="17" t="n">
        <x:v>1</x:v>
      </x:c>
      <x:c r="H207" s="16" t="str"/>
      <x:c r="I207" s="16" t="str"/>
      <x:c r="J207" s="16" t="str">
        <x:v>2012-07-25—2012-08-04｜世界青年团体锦标赛｜U26 Teams｜CHINA</x:v>
      </x:c>
    </x:row>
    <x:row r="208">
      <x:c r="A208" s="36" t="n">
        <x:v>191</x:v>
      </x:c>
      <x:c r="B208" s="36" t="str">
        <x:v>Jing Liu</x:v>
      </x:c>
      <x:c r="C208" s="64" t="str">
        <x:v>刘京</x:v>
      </x:c>
      <x:c r="D208" s="36" t="n">
        <x:v>0</x:v>
      </x:c>
      <x:c r="E208" s="36" t="n">
        <x:v>0</x:v>
      </x:c>
      <x:c r="F208" s="36" t="n">
        <x:v>1</x:v>
      </x:c>
      <x:c r="G208" s="36" t="n">
        <x:v>1</x:v>
      </x:c>
      <x:c r="H208" s="35" t="str"/>
      <x:c r="I208" s="35" t="str"/>
      <x:c r="J208" s="35" t="str">
        <x:v>2008-10-03—2008-10-18｜第1届世界智力运动会 / 世界桥牌运动会｜U28 Teams 青年团体｜CHINA</x:v>
      </x:c>
    </x:row>
    <x:row r="209">
      <x:c r="A209" s="17" t="n">
        <x:v>191</x:v>
      </x:c>
      <x:c r="B209" s="17" t="str">
        <x:v>Kai Lu</x:v>
      </x:c>
      <x:c r="C209" s="67" t="str">
        <x:v>陆凯</x:v>
      </x:c>
      <x:c r="D209" s="17" t="n">
        <x:v>0</x:v>
      </x:c>
      <x:c r="E209" s="17" t="n">
        <x:v>0</x:v>
      </x:c>
      <x:c r="F209" s="17" t="n">
        <x:v>1</x:v>
      </x:c>
      <x:c r="G209" s="17" t="n">
        <x:v>1</x:v>
      </x:c>
      <x:c r="H209" s="16" t="str"/>
      <x:c r="I209" s="16" t="str"/>
      <x:c r="J209" s="16" t="str">
        <x:v>2012-07-25—2012-08-04｜世界青年团体锦标赛｜U26 Teams｜CHINA</x:v>
      </x:c>
    </x:row>
    <x:row r="210">
      <x:c r="A210" s="36" t="n">
        <x:v>191</x:v>
      </x:c>
      <x:c r="B210" s="36" t="str">
        <x:v>Kaiwen Yu</x:v>
      </x:c>
      <x:c r="C210" s="64" t="str">
        <x:v>余凯文</x:v>
      </x:c>
      <x:c r="D210" s="36" t="n">
        <x:v>0</x:v>
      </x:c>
      <x:c r="E210" s="36" t="n">
        <x:v>0</x:v>
      </x:c>
      <x:c r="F210" s="36" t="n">
        <x:v>1</x:v>
      </x:c>
      <x:c r="G210" s="36" t="n">
        <x:v>1</x:v>
      </x:c>
      <x:c r="H210" s="35" t="str"/>
      <x:c r="I210" s="35" t="str"/>
      <x:c r="J210" s="35" t="str">
        <x:v>2013｜第3届世界青年公开锦标赛｜U21 Teams / Youngsters Teams｜CHINA XNWY</x:v>
      </x:c>
    </x:row>
    <x:row r="211">
      <x:c r="A211" s="17" t="n">
        <x:v>191</x:v>
      </x:c>
      <x:c r="B211" s="17" t="str">
        <x:v>Ling Hu</x:v>
      </x:c>
      <x:c r="C211" s="64" t="str">
        <x:v>胡玲</x:v>
      </x:c>
      <x:c r="D211" s="17" t="n">
        <x:v>0</x:v>
      </x:c>
      <x:c r="E211" s="17" t="n">
        <x:v>0</x:v>
      </x:c>
      <x:c r="F211" s="17" t="n">
        <x:v>1</x:v>
      </x:c>
      <x:c r="G211" s="17" t="n">
        <x:v>1</x:v>
      </x:c>
      <x:c r="H211" s="16" t="str"/>
      <x:c r="I211" s="16" t="str"/>
      <x:c r="J211" s="16" t="str">
        <x:v>2015-08-20—2015-08-29｜第4届世界青年公开锦标赛｜U26 Women Teams / Girls Teams｜CHINA RDFZ GIRLS</x:v>
      </x:c>
    </x:row>
    <x:row r="212">
      <x:c r="A212" s="36" t="n">
        <x:v>191</x:v>
      </x:c>
      <x:c r="B212" s="36" t="str">
        <x:v>Lingyi Ma</x:v>
      </x:c>
      <x:c r="C212" s="64" t="str">
        <x:v>马凌怡</x:v>
      </x:c>
      <x:c r="D212" s="36" t="n">
        <x:v>0</x:v>
      </x:c>
      <x:c r="E212" s="36" t="n">
        <x:v>0</x:v>
      </x:c>
      <x:c r="F212" s="36" t="n">
        <x:v>1</x:v>
      </x:c>
      <x:c r="G212" s="36" t="n">
        <x:v>1</x:v>
      </x:c>
      <x:c r="H212" s="35" t="str"/>
      <x:c r="I212" s="35" t="str"/>
      <x:c r="J212" s="35" t="str">
        <x:v>2015-08-20—2015-08-29｜第4届世界青年公开锦标赛｜U26 Women Teams / Girls Teams｜CHINA RDFZ GIRLS</x:v>
      </x:c>
    </x:row>
    <x:row r="213">
      <x:c r="A213" s="17" t="n">
        <x:v>191</x:v>
      </x:c>
      <x:c r="B213" s="17" t="str">
        <x:v>Lingyun Teng</x:v>
      </x:c>
      <x:c r="C213" s="64" t="str">
        <x:v>滕凌云</x:v>
      </x:c>
      <x:c r="D213" s="17" t="n">
        <x:v>0</x:v>
      </x:c>
      <x:c r="E213" s="17" t="n">
        <x:v>0</x:v>
      </x:c>
      <x:c r="F213" s="17" t="n">
        <x:v>1</x:v>
      </x:c>
      <x:c r="G213" s="17" t="n">
        <x:v>1</x:v>
      </x:c>
      <x:c r="H213" s="16" t="str"/>
      <x:c r="I213" s="16" t="str"/>
      <x:c r="J213" s="16" t="str">
        <x:v>2025-07-12—2025-07-17｜第19届世界青年团体锦标赛｜U26 Women Teams｜CHINA</x:v>
      </x:c>
    </x:row>
    <x:row r="214">
      <x:c r="A214" s="36" t="n">
        <x:v>191</x:v>
      </x:c>
      <x:c r="B214" s="36" t="str">
        <x:v>Lulu Peng</x:v>
      </x:c>
      <x:c r="C214" s="67" t="str">
        <x:v>彭璐璐</x:v>
      </x:c>
      <x:c r="D214" s="36" t="n">
        <x:v>0</x:v>
      </x:c>
      <x:c r="E214" s="36" t="n">
        <x:v>0</x:v>
      </x:c>
      <x:c r="F214" s="36" t="n">
        <x:v>1</x:v>
      </x:c>
      <x:c r="G214" s="36" t="n">
        <x:v>1</x:v>
      </x:c>
      <x:c r="H214" s="35" t="str"/>
      <x:c r="I214" s="35" t="str"/>
      <x:c r="J214" s="35" t="str">
        <x:v>2010-10｜世界青年团体锦标赛｜U26 Women Teams｜CHINA</x:v>
      </x:c>
    </x:row>
    <x:row r="215">
      <x:c r="A215" s="17" t="n">
        <x:v>191</x:v>
      </x:c>
      <x:c r="B215" s="17" t="str">
        <x:v>Meiling Zhou</x:v>
      </x:c>
      <x:c r="C215" s="61" t="str">
        <x:v>周美玲</x:v>
      </x:c>
      <x:c r="D215" s="17" t="n">
        <x:v>0</x:v>
      </x:c>
      <x:c r="E215" s="17" t="n">
        <x:v>0</x:v>
      </x:c>
      <x:c r="F215" s="17" t="n">
        <x:v>1</x:v>
      </x:c>
      <x:c r="G215" s="17" t="n">
        <x:v>1</x:v>
      </x:c>
      <x:c r="H215" s="16" t="str"/>
      <x:c r="I215" s="16" t="str"/>
      <x:c r="J215" s="16" t="str">
        <x:v>2023-08｜世界桥牌团体锦标赛｜Venice Cup 女子团体｜CHINA</x:v>
      </x:c>
    </x:row>
    <x:row r="216">
      <x:c r="A216" s="36" t="n">
        <x:v>191</x:v>
      </x:c>
      <x:c r="B216" s="36" t="str">
        <x:v>Mengqi Hao</x:v>
      </x:c>
      <x:c r="C216" s="64" t="str">
        <x:v>郝梦琪</x:v>
      </x:c>
      <x:c r="D216" s="36" t="n">
        <x:v>0</x:v>
      </x:c>
      <x:c r="E216" s="36" t="n">
        <x:v>0</x:v>
      </x:c>
      <x:c r="F216" s="36" t="n">
        <x:v>1</x:v>
      </x:c>
      <x:c r="G216" s="36" t="n">
        <x:v>1</x:v>
      </x:c>
      <x:c r="H216" s="35" t="str"/>
      <x:c r="I216" s="35" t="str"/>
      <x:c r="J216" s="35" t="str">
        <x:v>2015-08-20—2015-08-29｜第4届世界青年公开锦标赛｜U26 Women Teams / Girls Teams｜CHINA RDFZ GIRLS</x:v>
      </x:c>
    </x:row>
    <x:row r="217">
      <x:c r="A217" s="17" t="n">
        <x:v>191</x:v>
      </x:c>
      <x:c r="B217" s="17" t="str">
        <x:v>Ming Sheng</x:v>
      </x:c>
      <x:c r="C217" s="64" t="str">
        <x:v>盛明</x:v>
      </x:c>
      <x:c r="D217" s="17" t="n">
        <x:v>0</x:v>
      </x:c>
      <x:c r="E217" s="17" t="n">
        <x:v>0</x:v>
      </x:c>
      <x:c r="F217" s="17" t="n">
        <x:v>1</x:v>
      </x:c>
      <x:c r="G217" s="17" t="n">
        <x:v>1</x:v>
      </x:c>
      <x:c r="H217" s="16" t="str"/>
      <x:c r="I217" s="16" t="str"/>
      <x:c r="J217" s="16" t="str">
        <x:v>2008-10-03—2008-10-18｜第1届世界智力运动会 / 世界桥牌运动会｜U28 Teams 青年团体｜CHINA</x:v>
      </x:c>
    </x:row>
    <x:row r="218">
      <x:c r="A218" s="36" t="n">
        <x:v>191</x:v>
      </x:c>
      <x:c r="B218" s="36" t="str">
        <x:v>Ping Wang</x:v>
      </x:c>
      <x:c r="C218" s="67" t="str">
        <x:v>王萍</x:v>
      </x:c>
      <x:c r="D218" s="36" t="n">
        <x:v>0</x:v>
      </x:c>
      <x:c r="E218" s="36" t="n">
        <x:v>0</x:v>
      </x:c>
      <x:c r="F218" s="36" t="n">
        <x:v>1</x:v>
      </x:c>
      <x:c r="G218" s="36" t="n">
        <x:v>1</x:v>
      </x:c>
      <x:c r="H218" s="35" t="str"/>
      <x:c r="I218" s="35" t="str"/>
      <x:c r="J218" s="35" t="str">
        <x:v>2015｜世界桥牌团体锦标赛｜Transnational Open Teams 跨国公开团体｜TRANSNATIONAL TEAM</x:v>
      </x:c>
    </x:row>
    <x:row r="219">
      <x:c r="A219" s="17" t="n">
        <x:v>191</x:v>
      </x:c>
      <x:c r="B219" s="17" t="str">
        <x:v>Qi Song</x:v>
      </x:c>
      <x:c r="C219" s="64" t="str">
        <x:v>宋琦</x:v>
      </x:c>
      <x:c r="D219" s="17" t="n">
        <x:v>0</x:v>
      </x:c>
      <x:c r="E219" s="17" t="n">
        <x:v>0</x:v>
      </x:c>
      <x:c r="F219" s="17" t="n">
        <x:v>1</x:v>
      </x:c>
      <x:c r="G219" s="17" t="n">
        <x:v>1</x:v>
      </x:c>
      <x:c r="H219" s="16" t="str"/>
      <x:c r="I219" s="16" t="str"/>
      <x:c r="J219" s="16" t="str">
        <x:v>2008-10-03—2008-10-18｜第1届世界智力运动会 / 世界桥牌运动会｜U21 Teams 青年团体｜CHINA</x:v>
      </x:c>
    </x:row>
    <x:row r="220">
      <x:c r="A220" s="36" t="n">
        <x:v>191</x:v>
      </x:c>
      <x:c r="B220" s="36" t="str">
        <x:v>Qi Xia</x:v>
      </x:c>
      <x:c r="C220" s="64" t="str">
        <x:v>夏琪</x:v>
      </x:c>
      <x:c r="D220" s="36" t="n">
        <x:v>0</x:v>
      </x:c>
      <x:c r="E220" s="36" t="n">
        <x:v>0</x:v>
      </x:c>
      <x:c r="F220" s="36" t="n">
        <x:v>1</x:v>
      </x:c>
      <x:c r="G220" s="36" t="n">
        <x:v>1</x:v>
      </x:c>
      <x:c r="H220" s="35" t="str"/>
      <x:c r="I220" s="35" t="str"/>
      <x:c r="J220" s="35" t="str">
        <x:v>2015-08-20—2015-08-29｜第4届世界青年公开锦标赛｜U26 Women Teams / Girls Teams｜CHINA RDFZ GIRLS</x:v>
      </x:c>
    </x:row>
    <x:row r="221">
      <x:c r="A221" s="17" t="n">
        <x:v>191</x:v>
      </x:c>
      <x:c r="B221" s="17" t="str">
        <x:v>Qinghong Zhou</x:v>
      </x:c>
      <x:c r="C221" s="67" t="str">
        <x:v>周庆红</x:v>
      </x:c>
      <x:c r="D221" s="17" t="n">
        <x:v>0</x:v>
      </x:c>
      <x:c r="E221" s="17" t="n">
        <x:v>0</x:v>
      </x:c>
      <x:c r="F221" s="17" t="n">
        <x:v>1</x:v>
      </x:c>
      <x:c r="G221" s="17" t="n">
        <x:v>1</x:v>
      </x:c>
      <x:c r="H221" s="16" t="str"/>
      <x:c r="I221" s="16" t="str"/>
      <x:c r="J221" s="16" t="str">
        <x:v>2004｜世界桥牌奥林匹克赛｜Transnational Mixed Teams 跨国混合团体｜CHINA</x:v>
      </x:c>
    </x:row>
    <x:row r="222">
      <x:c r="A222" s="36" t="n">
        <x:v>191</x:v>
      </x:c>
      <x:c r="B222" s="36" t="str">
        <x:v>Ruo Fei Ma</x:v>
      </x:c>
      <x:c r="C222" s="64" t="str">
        <x:v>马若菲</x:v>
      </x:c>
      <x:c r="D222" s="36" t="n">
        <x:v>0</x:v>
      </x:c>
      <x:c r="E222" s="36" t="n">
        <x:v>0</x:v>
      </x:c>
      <x:c r="F222" s="36" t="n">
        <x:v>1</x:v>
      </x:c>
      <x:c r="G222" s="36" t="n">
        <x:v>1</x:v>
      </x:c>
      <x:c r="H222" s="35" t="str"/>
      <x:c r="I222" s="35" t="str"/>
      <x:c r="J222" s="35" t="str">
        <x:v>2026-08-03—2026-08-08｜第9届世界青年跨国锦标赛｜U26 Women Teams｜SHANDONG YANTAI</x:v>
      </x:c>
    </x:row>
    <x:row r="223">
      <x:c r="A223" s="17" t="n">
        <x:v>191</x:v>
      </x:c>
      <x:c r="B223" s="17" t="str">
        <x:v>Ruohan Liu</x:v>
      </x:c>
      <x:c r="C223" s="64" t="str">
        <x:v>刘若涵</x:v>
      </x:c>
      <x:c r="D223" s="17" t="n">
        <x:v>0</x:v>
      </x:c>
      <x:c r="E223" s="17" t="n">
        <x:v>0</x:v>
      </x:c>
      <x:c r="F223" s="17" t="n">
        <x:v>1</x:v>
      </x:c>
      <x:c r="G223" s="17" t="n">
        <x:v>1</x:v>
      </x:c>
      <x:c r="H223" s="16" t="str"/>
      <x:c r="I223" s="16" t="str"/>
      <x:c r="J223" s="16" t="str">
        <x:v>2026-08-03—2026-08-08｜第9届世界青年跨国锦标赛｜U26 Women Teams｜SHANDONG YANTAI</x:v>
      </x:c>
    </x:row>
    <x:row r="224">
      <x:c r="A224" s="36" t="n">
        <x:v>191</x:v>
      </x:c>
      <x:c r="B224" s="36" t="str">
        <x:v>Shiyi Li</x:v>
      </x:c>
      <x:c r="C224" s="64" t="str">
        <x:v>李诗怡</x:v>
      </x:c>
      <x:c r="D224" s="36" t="n">
        <x:v>0</x:v>
      </x:c>
      <x:c r="E224" s="36" t="n">
        <x:v>0</x:v>
      </x:c>
      <x:c r="F224" s="36" t="n">
        <x:v>1</x:v>
      </x:c>
      <x:c r="G224" s="36" t="n">
        <x:v>1</x:v>
      </x:c>
      <x:c r="H224" s="35" t="str"/>
      <x:c r="I224" s="35" t="str"/>
      <x:c r="J224" s="35" t="str">
        <x:v>2017-08-15—2017-08-24｜第5届世界青年公开锦标赛｜U26 Women Teams / Girls Teams｜SH XIN JIANGNAN TEAM</x:v>
      </x:c>
    </x:row>
    <x:row r="225">
      <x:c r="A225" s="17" t="n">
        <x:v>191</x:v>
      </x:c>
      <x:c r="B225" s="17" t="str">
        <x:v>Shiyun Mao</x:v>
      </x:c>
      <x:c r="C225" s="64" t="str">
        <x:v>毛诗韵</x:v>
      </x:c>
      <x:c r="D225" s="17" t="n">
        <x:v>0</x:v>
      </x:c>
      <x:c r="E225" s="17" t="n">
        <x:v>0</x:v>
      </x:c>
      <x:c r="F225" s="17" t="n">
        <x:v>1</x:v>
      </x:c>
      <x:c r="G225" s="17" t="n">
        <x:v>1</x:v>
      </x:c>
      <x:c r="H225" s="16" t="str"/>
      <x:c r="I225" s="16" t="str"/>
      <x:c r="J225" s="16" t="str">
        <x:v>2017-08-15—2017-08-24｜第5届世界青年公开锦标赛｜U26 Women Teams / Girls Teams｜SH XIN JIANGNAN TEAM</x:v>
      </x:c>
    </x:row>
    <x:row r="226">
      <x:c r="A226" s="36" t="n">
        <x:v>191</x:v>
      </x:c>
      <x:c r="B226" s="36" t="str">
        <x:v>Sifan Jiang</x:v>
      </x:c>
      <x:c r="C226" s="64" t="str">
        <x:v>蒋思凡</x:v>
      </x:c>
      <x:c r="D226" s="36" t="n">
        <x:v>0</x:v>
      </x:c>
      <x:c r="E226" s="36" t="n">
        <x:v>0</x:v>
      </x:c>
      <x:c r="F226" s="36" t="n">
        <x:v>1</x:v>
      </x:c>
      <x:c r="G226" s="36" t="n">
        <x:v>1</x:v>
      </x:c>
      <x:c r="H226" s="35" t="str"/>
      <x:c r="I226" s="35" t="str"/>
      <x:c r="J226" s="35" t="str">
        <x:v>2025-07-12—2025-07-17｜第19届世界青年团体锦标赛｜U26 Women Teams｜CHINA</x:v>
      </x:c>
    </x:row>
    <x:row r="227">
      <x:c r="A227" s="17" t="n">
        <x:v>191</x:v>
      </x:c>
      <x:c r="B227" s="17" t="str">
        <x:v>Simin Chen</x:v>
      </x:c>
      <x:c r="C227" s="64" t="str">
        <x:v>陈思敏</x:v>
      </x:c>
      <x:c r="D227" s="17" t="n">
        <x:v>0</x:v>
      </x:c>
      <x:c r="E227" s="17" t="n">
        <x:v>0</x:v>
      </x:c>
      <x:c r="F227" s="17" t="n">
        <x:v>1</x:v>
      </x:c>
      <x:c r="G227" s="17" t="n">
        <x:v>1</x:v>
      </x:c>
      <x:c r="H227" s="16" t="str"/>
      <x:c r="I227" s="16" t="str"/>
      <x:c r="J227" s="16" t="str">
        <x:v>2008-10-03—2008-10-18｜第1届世界智力运动会 / 世界桥牌运动会｜U21 Teams 青年团体｜CHINA</x:v>
      </x:c>
    </x:row>
    <x:row r="228">
      <x:c r="A228" s="36" t="n">
        <x:v>191</x:v>
      </x:c>
      <x:c r="B228" s="36" t="str">
        <x:v>Suhang Li</x:v>
      </x:c>
      <x:c r="C228" s="64" t="str">
        <x:v>李苏航</x:v>
      </x:c>
      <x:c r="D228" s="36" t="n">
        <x:v>0</x:v>
      </x:c>
      <x:c r="E228" s="36" t="n">
        <x:v>0</x:v>
      </x:c>
      <x:c r="F228" s="36" t="n">
        <x:v>1</x:v>
      </x:c>
      <x:c r="G228" s="36" t="n">
        <x:v>1</x:v>
      </x:c>
      <x:c r="H228" s="35" t="str"/>
      <x:c r="I228" s="35" t="str"/>
      <x:c r="J228" s="35" t="str">
        <x:v>2019-08-20—2019-08-29｜第6届世界青年公开锦标赛｜U16 Teams｜SXSATURN</x:v>
      </x:c>
    </x:row>
    <x:row r="229">
      <x:c r="A229" s="17" t="n">
        <x:v>191</x:v>
      </x:c>
      <x:c r="B229" s="17" t="str">
        <x:v>Tengbo Tang</x:v>
      </x:c>
      <x:c r="C229" s="64" t="str">
        <x:v>唐腾博</x:v>
      </x:c>
      <x:c r="D229" s="17" t="n">
        <x:v>0</x:v>
      </x:c>
      <x:c r="E229" s="17" t="n">
        <x:v>0</x:v>
      </x:c>
      <x:c r="F229" s="17" t="n">
        <x:v>1</x:v>
      </x:c>
      <x:c r="G229" s="17" t="n">
        <x:v>1</x:v>
      </x:c>
      <x:c r="H229" s="16" t="str"/>
      <x:c r="I229" s="16" t="str"/>
      <x:c r="J229" s="16" t="str">
        <x:v>2019-08-20—2019-08-29｜第6届世界青年公开锦标赛｜U16 Teams｜SXSATURN</x:v>
      </x:c>
    </x:row>
    <x:row r="230">
      <x:c r="A230" s="36" t="n">
        <x:v>191</x:v>
      </x:c>
      <x:c r="B230" s="36" t="str">
        <x:v>Tianxin Chi</x:v>
      </x:c>
      <x:c r="C230" s="64" t="str">
        <x:v>池天欣</x:v>
      </x:c>
      <x:c r="D230" s="36" t="n">
        <x:v>0</x:v>
      </x:c>
      <x:c r="E230" s="36" t="n">
        <x:v>0</x:v>
      </x:c>
      <x:c r="F230" s="36" t="n">
        <x:v>1</x:v>
      </x:c>
      <x:c r="G230" s="36" t="n">
        <x:v>1</x:v>
      </x:c>
      <x:c r="H230" s="35" t="str"/>
      <x:c r="I230" s="35" t="str"/>
      <x:c r="J230" s="35" t="str">
        <x:v>2026-08-03—2026-08-08｜第9届世界青年跨国锦标赛｜U26 Women Teams｜SHANDONG YANTAI</x:v>
      </x:c>
    </x:row>
    <x:row r="231">
      <x:c r="A231" s="17" t="n">
        <x:v>191</x:v>
      </x:c>
      <x:c r="B231" s="17" t="str">
        <x:v>Wei Meng</x:v>
      </x:c>
      <x:c r="C231" s="64" t="str">
        <x:v>孟巍</x:v>
      </x:c>
      <x:c r="D231" s="17" t="n">
        <x:v>0</x:v>
      </x:c>
      <x:c r="E231" s="17" t="n">
        <x:v>0</x:v>
      </x:c>
      <x:c r="F231" s="17" t="n">
        <x:v>1</x:v>
      </x:c>
      <x:c r="G231" s="17" t="n">
        <x:v>1</x:v>
      </x:c>
      <x:c r="H231" s="16" t="str"/>
      <x:c r="I231" s="16" t="str"/>
      <x:c r="J231" s="16" t="str">
        <x:v>2010-10｜世界青年团体锦标赛｜U26 Women Teams｜CHINA</x:v>
      </x:c>
    </x:row>
    <x:row r="232">
      <x:c r="A232" s="36" t="n">
        <x:v>191</x:v>
      </x:c>
      <x:c r="B232" s="36" t="str">
        <x:v>Wenjie Xue</x:v>
      </x:c>
      <x:c r="C232" s="64" t="str">
        <x:v>薛文杰</x:v>
      </x:c>
      <x:c r="D232" s="36" t="n">
        <x:v>0</x:v>
      </x:c>
      <x:c r="E232" s="36" t="n">
        <x:v>0</x:v>
      </x:c>
      <x:c r="F232" s="36" t="n">
        <x:v>1</x:v>
      </x:c>
      <x:c r="G232" s="36" t="n">
        <x:v>1</x:v>
      </x:c>
      <x:c r="H232" s="35" t="str"/>
      <x:c r="I232" s="35" t="str"/>
      <x:c r="J232" s="35" t="str">
        <x:v>2015-08-20—2015-08-29｜第4届世界青年公开锦标赛｜U16 Teams / Kids Teams｜SX XNWY</x:v>
      </x:c>
    </x:row>
    <x:row r="233">
      <x:c r="A233" s="17" t="n">
        <x:v>191</x:v>
      </x:c>
      <x:c r="B233" s="17" t="str">
        <x:v>Xiaotong Wu</x:v>
      </x:c>
      <x:c r="C233" s="64" t="str">
        <x:v>吴晓彤</x:v>
      </x:c>
      <x:c r="D233" s="17" t="n">
        <x:v>0</x:v>
      </x:c>
      <x:c r="E233" s="17" t="n">
        <x:v>0</x:v>
      </x:c>
      <x:c r="F233" s="17" t="n">
        <x:v>1</x:v>
      </x:c>
      <x:c r="G233" s="17" t="n">
        <x:v>1</x:v>
      </x:c>
      <x:c r="H233" s="16" t="str"/>
      <x:c r="I233" s="16" t="str"/>
      <x:c r="J233" s="16" t="str">
        <x:v>2017-08-15—2017-08-24｜第5届世界青年公开锦标赛｜U26 Women Teams / Girls Teams｜SH XIN JIANGNAN TEAM</x:v>
      </x:c>
    </x:row>
    <x:row r="234">
      <x:c r="A234" s="36" t="n">
        <x:v>191</x:v>
      </x:c>
      <x:c r="B234" s="36" t="str">
        <x:v>Xihan Zhang</x:v>
      </x:c>
      <x:c r="C234" s="64" t="str">
        <x:v>张熙涵</x:v>
      </x:c>
      <x:c r="D234" s="36" t="n">
        <x:v>0</x:v>
      </x:c>
      <x:c r="E234" s="36" t="n">
        <x:v>0</x:v>
      </x:c>
      <x:c r="F234" s="36" t="n">
        <x:v>1</x:v>
      </x:c>
      <x:c r="G234" s="36" t="n">
        <x:v>1</x:v>
      </x:c>
      <x:c r="H234" s="35" t="str"/>
      <x:c r="I234" s="35" t="str"/>
      <x:c r="J234" s="35" t="str">
        <x:v>2026-08-03—2026-08-08｜第9届世界青年跨国锦标赛｜U26 Women Teams｜SHANDONG YANTAI</x:v>
      </x:c>
    </x:row>
    <x:row r="235">
      <x:c r="A235" s="17" t="n">
        <x:v>191</x:v>
      </x:c>
      <x:c r="B235" s="17" t="str">
        <x:v>Xin Li</x:v>
      </x:c>
      <x:c r="C235" s="64" t="str">
        <x:v>李鑫</x:v>
      </x:c>
      <x:c r="D235" s="17" t="n">
        <x:v>0</x:v>
      </x:c>
      <x:c r="E235" s="17" t="n">
        <x:v>0</x:v>
      </x:c>
      <x:c r="F235" s="17" t="n">
        <x:v>1</x:v>
      </x:c>
      <x:c r="G235" s="17" t="n">
        <x:v>1</x:v>
      </x:c>
      <x:c r="H235" s="16" t="str"/>
      <x:c r="I235" s="16" t="str"/>
      <x:c r="J235" s="16" t="str">
        <x:v>2008-10-03—2008-10-18｜第1届世界智力运动会 / 世界桥牌运动会｜U28 Teams 青年团体｜CHINA</x:v>
      </x:c>
    </x:row>
    <x:row r="236">
      <x:c r="A236" s="36" t="n">
        <x:v>191</x:v>
      </x:c>
      <x:c r="B236" s="36" t="str">
        <x:v>Xing Li</x:v>
      </x:c>
      <x:c r="C236" s="64" t="str">
        <x:v>李星</x:v>
      </x:c>
      <x:c r="D236" s="36" t="n">
        <x:v>0</x:v>
      </x:c>
      <x:c r="E236" s="36" t="n">
        <x:v>0</x:v>
      </x:c>
      <x:c r="F236" s="36" t="n">
        <x:v>1</x:v>
      </x:c>
      <x:c r="G236" s="36" t="n">
        <x:v>1</x:v>
      </x:c>
      <x:c r="H236" s="35" t="str"/>
      <x:c r="I236" s="35" t="str"/>
      <x:c r="J236" s="35" t="str">
        <x:v>2010-10｜世界青年团体锦标赛｜U26 Women Teams｜CHINA</x:v>
      </x:c>
    </x:row>
    <x:row r="237">
      <x:c r="A237" s="17" t="n">
        <x:v>191</x:v>
      </x:c>
      <x:c r="B237" s="17" t="str">
        <x:v>Xingxing Shan</x:v>
      </x:c>
      <x:c r="C237" s="64" t="str">
        <x:v>单星星</x:v>
      </x:c>
      <x:c r="D237" s="17" t="n">
        <x:v>0</x:v>
      </x:c>
      <x:c r="E237" s="17" t="n">
        <x:v>0</x:v>
      </x:c>
      <x:c r="F237" s="17" t="n">
        <x:v>1</x:v>
      </x:c>
      <x:c r="G237" s="17" t="n">
        <x:v>1</x:v>
      </x:c>
      <x:c r="H237" s="16" t="str"/>
      <x:c r="I237" s="16" t="str"/>
      <x:c r="J237" s="16" t="str">
        <x:v>2010-10｜世界青年团体锦标赛｜U26 Women Teams｜CHINA</x:v>
      </x:c>
    </x:row>
    <x:row r="238">
      <x:c r="A238" s="36" t="n">
        <x:v>191</x:v>
      </x:c>
      <x:c r="B238" s="36" t="str">
        <x:v>Xinyi Luo</x:v>
      </x:c>
      <x:c r="C238" s="64" t="str">
        <x:v>罗欣怡</x:v>
      </x:c>
      <x:c r="D238" s="36" t="n">
        <x:v>0</x:v>
      </x:c>
      <x:c r="E238" s="36" t="n">
        <x:v>0</x:v>
      </x:c>
      <x:c r="F238" s="36" t="n">
        <x:v>1</x:v>
      </x:c>
      <x:c r="G238" s="36" t="n">
        <x:v>1</x:v>
      </x:c>
      <x:c r="H238" s="35" t="str"/>
      <x:c r="I238" s="35" t="str"/>
      <x:c r="J238" s="35" t="str">
        <x:v>2015-08-20—2015-08-29｜第4届世界青年公开锦标赛｜U26 Women Teams / Girls Teams｜CHINA RDFZ GIRLS</x:v>
      </x:c>
    </x:row>
    <x:row r="239">
      <x:c r="A239" s="17" t="n">
        <x:v>191</x:v>
      </x:c>
      <x:c r="B239" s="17" t="str">
        <x:v>Xiufen Chang</x:v>
      </x:c>
      <x:c r="C239" s="64" t="str">
        <x:v>常秀芬</x:v>
      </x:c>
      <x:c r="D239" s="17" t="n">
        <x:v>0</x:v>
      </x:c>
      <x:c r="E239" s="17" t="n">
        <x:v>0</x:v>
      </x:c>
      <x:c r="F239" s="17" t="n">
        <x:v>1</x:v>
      </x:c>
      <x:c r="G239" s="17" t="n">
        <x:v>1</x:v>
      </x:c>
      <x:c r="H239" s="16" t="str"/>
      <x:c r="I239" s="16" t="str"/>
      <x:c r="J239" s="16" t="str">
        <x:v>2010-10｜世界青年团体锦标赛｜U26 Women Teams｜CHINA</x:v>
      </x:c>
    </x:row>
    <x:row r="240">
      <x:c r="A240" s="36" t="n">
        <x:v>191</x:v>
      </x:c>
      <x:c r="B240" s="36" t="str">
        <x:v>Xiuting Yu</x:v>
      </x:c>
      <x:c r="C240" s="61" t="str">
        <x:v>余修婷</x:v>
      </x:c>
      <x:c r="D240" s="36" t="n">
        <x:v>0</x:v>
      </x:c>
      <x:c r="E240" s="36" t="n">
        <x:v>0</x:v>
      </x:c>
      <x:c r="F240" s="36" t="n">
        <x:v>1</x:v>
      </x:c>
      <x:c r="G240" s="36" t="n">
        <x:v>1</x:v>
      </x:c>
      <x:c r="H240" s="35" t="str"/>
      <x:c r="I240" s="35" t="str"/>
      <x:c r="J240" s="35" t="str">
        <x:v>2023-08｜世界桥牌团体锦标赛｜Venice Cup 女子团体｜CHINA</x:v>
      </x:c>
    </x:row>
    <x:row r="241">
      <x:c r="A241" s="17" t="n">
        <x:v>191</x:v>
      </x:c>
      <x:c r="B241" s="17" t="str">
        <x:v>Xu Hou</x:v>
      </x:c>
      <x:c r="C241" s="69" t="str"/>
      <x:c r="D241" s="17" t="n">
        <x:v>0</x:v>
      </x:c>
      <x:c r="E241" s="17" t="n">
        <x:v>0</x:v>
      </x:c>
      <x:c r="F241" s="17" t="n">
        <x:v>1</x:v>
      </x:c>
      <x:c r="G241" s="17" t="n">
        <x:v>1</x:v>
      </x:c>
      <x:c r="H241" s="16" t="str"/>
      <x:c r="I241" s="16" t="str"/>
      <x:c r="J241" s="16" t="str">
        <x:v>2008-10-03—2008-10-18｜第1届世界智力运动会 / 世界桥牌运动会｜Transnational Mixed Teams 跨国混合团体｜A-EVERTRUST HOLDING GROUP</x:v>
      </x:c>
    </x:row>
    <x:row r="242">
      <x:c r="A242" s="36" t="n">
        <x:v>191</x:v>
      </x:c>
      <x:c r="B242" s="36" t="str">
        <x:v>Xuyang Zhang</x:v>
      </x:c>
      <x:c r="C242" s="64" t="str">
        <x:v>张旭阳</x:v>
      </x:c>
      <x:c r="D242" s="36" t="n">
        <x:v>0</x:v>
      </x:c>
      <x:c r="E242" s="36" t="n">
        <x:v>0</x:v>
      </x:c>
      <x:c r="F242" s="36" t="n">
        <x:v>1</x:v>
      </x:c>
      <x:c r="G242" s="36" t="n">
        <x:v>1</x:v>
      </x:c>
      <x:c r="H242" s="35" t="str"/>
      <x:c r="I242" s="35" t="str"/>
      <x:c r="J242" s="35" t="str">
        <x:v>2019-08-20—2019-08-29｜第6届世界青年公开锦标赛｜U16 Teams｜SXSATURN</x:v>
      </x:c>
    </x:row>
    <x:row r="243">
      <x:c r="A243" s="17" t="n">
        <x:v>191</x:v>
      </x:c>
      <x:c r="B243" s="17" t="str">
        <x:v>Yanjiao Liu</x:v>
      </x:c>
      <x:c r="C243" s="64" t="str">
        <x:v>刘彦娇</x:v>
      </x:c>
      <x:c r="D243" s="17" t="n">
        <x:v>0</x:v>
      </x:c>
      <x:c r="E243" s="17" t="n">
        <x:v>0</x:v>
      </x:c>
      <x:c r="F243" s="17" t="n">
        <x:v>1</x:v>
      </x:c>
      <x:c r="G243" s="17" t="n">
        <x:v>1</x:v>
      </x:c>
      <x:c r="H243" s="16" t="str"/>
      <x:c r="I243" s="16" t="str"/>
      <x:c r="J243" s="16" t="str">
        <x:v>2010-10｜世界青年团体锦标赛｜U26 Women Teams｜CHINA</x:v>
      </x:c>
    </x:row>
    <x:row r="244">
      <x:c r="A244" s="36" t="n">
        <x:v>191</x:v>
      </x:c>
      <x:c r="B244" s="36" t="str">
        <x:v>Yanting Mao</x:v>
      </x:c>
      <x:c r="C244" s="64" t="str">
        <x:v>毛妍婷</x:v>
      </x:c>
      <x:c r="D244" s="36" t="n">
        <x:v>0</x:v>
      </x:c>
      <x:c r="E244" s="36" t="n">
        <x:v>0</x:v>
      </x:c>
      <x:c r="F244" s="36" t="n">
        <x:v>1</x:v>
      </x:c>
      <x:c r="G244" s="36" t="n">
        <x:v>1</x:v>
      </x:c>
      <x:c r="H244" s="35" t="str"/>
      <x:c r="I244" s="35" t="str"/>
      <x:c r="J244" s="35" t="str">
        <x:v>2017-08-15—2017-08-24｜第5届世界青年公开锦标赛｜U26 Women Teams / Girls Teams｜SH XIN JIANGNAN TEAM</x:v>
      </x:c>
    </x:row>
    <x:row r="245">
      <x:c r="A245" s="17" t="n">
        <x:v>191</x:v>
      </x:c>
      <x:c r="B245" s="17" t="str">
        <x:v>Yici Wang</x:v>
      </x:c>
      <x:c r="C245" s="64" t="str">
        <x:v>王依慈</x:v>
      </x:c>
      <x:c r="D245" s="17" t="n">
        <x:v>0</x:v>
      </x:c>
      <x:c r="E245" s="17" t="n">
        <x:v>0</x:v>
      </x:c>
      <x:c r="F245" s="17" t="n">
        <x:v>1</x:v>
      </x:c>
      <x:c r="G245" s="17" t="n">
        <x:v>1</x:v>
      </x:c>
      <x:c r="H245" s="16" t="str"/>
      <x:c r="I245" s="16" t="str"/>
      <x:c r="J245" s="16" t="str">
        <x:v>2017-08-15—2017-08-24｜第5届世界青年公开锦标赛｜U26 Women Teams / Girls Teams｜SH XIN JIANGNAN TEAM</x:v>
      </x:c>
    </x:row>
    <x:row r="246">
      <x:c r="A246" s="36" t="n">
        <x:v>191</x:v>
      </x:c>
      <x:c r="B246" s="36" t="str">
        <x:v>Yijun Wu</x:v>
      </x:c>
      <x:c r="C246" s="64" t="str">
        <x:v>吴怡君</x:v>
      </x:c>
      <x:c r="D246" s="36" t="n">
        <x:v>0</x:v>
      </x:c>
      <x:c r="E246" s="36" t="n">
        <x:v>0</x:v>
      </x:c>
      <x:c r="F246" s="36" t="n">
        <x:v>1</x:v>
      </x:c>
      <x:c r="G246" s="36" t="n">
        <x:v>1</x:v>
      </x:c>
      <x:c r="H246" s="35" t="str"/>
      <x:c r="I246" s="35" t="str"/>
      <x:c r="J246" s="35" t="str">
        <x:v>2019-08-20—2019-08-29｜第6届世界青年公开锦标赛｜U16 Teams｜SXSATURN</x:v>
      </x:c>
    </x:row>
    <x:row r="247">
      <x:c r="A247" s="17" t="n">
        <x:v>191</x:v>
      </x:c>
      <x:c r="B247" s="17" t="str">
        <x:v>Yiling Shen</x:v>
      </x:c>
      <x:c r="C247" s="64" t="str">
        <x:v>沈逸玲</x:v>
      </x:c>
      <x:c r="D247" s="17" t="n">
        <x:v>0</x:v>
      </x:c>
      <x:c r="E247" s="17" t="n">
        <x:v>0</x:v>
      </x:c>
      <x:c r="F247" s="17" t="n">
        <x:v>1</x:v>
      </x:c>
      <x:c r="G247" s="17" t="n">
        <x:v>1</x:v>
      </x:c>
      <x:c r="H247" s="16" t="str"/>
      <x:c r="I247" s="16" t="str"/>
      <x:c r="J247" s="16" t="str">
        <x:v>2013｜第3届世界青年公开锦标赛｜U21 Teams / Youngsters Teams｜CHINA XNWY</x:v>
      </x:c>
    </x:row>
    <x:row r="248">
      <x:c r="A248" s="36" t="n">
        <x:v>191</x:v>
      </x:c>
      <x:c r="B248" s="36" t="str">
        <x:v>Yixuan Jiang</x:v>
      </x:c>
      <x:c r="C248" s="64" t="str">
        <x:v>蒋奕萱</x:v>
      </x:c>
      <x:c r="D248" s="36" t="n">
        <x:v>0</x:v>
      </x:c>
      <x:c r="E248" s="36" t="n">
        <x:v>0</x:v>
      </x:c>
      <x:c r="F248" s="36" t="n">
        <x:v>1</x:v>
      </x:c>
      <x:c r="G248" s="36" t="n">
        <x:v>1</x:v>
      </x:c>
      <x:c r="H248" s="35" t="str"/>
      <x:c r="I248" s="35" t="str"/>
      <x:c r="J248" s="35" t="str">
        <x:v>2025-07-12—2025-07-17｜第19届世界青年团体锦标赛｜U26 Women Teams｜CHINA</x:v>
      </x:c>
    </x:row>
    <x:row r="249">
      <x:c r="A249" s="17" t="n">
        <x:v>191</x:v>
      </x:c>
      <x:c r="B249" s="17" t="str">
        <x:v>Yixuan Liu</x:v>
      </x:c>
      <x:c r="C249" s="64" t="str">
        <x:v>刘奕萱</x:v>
      </x:c>
      <x:c r="D249" s="17" t="n">
        <x:v>0</x:v>
      </x:c>
      <x:c r="E249" s="17" t="n">
        <x:v>0</x:v>
      </x:c>
      <x:c r="F249" s="17" t="n">
        <x:v>1</x:v>
      </x:c>
      <x:c r="G249" s="17" t="n">
        <x:v>1</x:v>
      </x:c>
      <x:c r="H249" s="16" t="str"/>
      <x:c r="I249" s="16" t="str"/>
      <x:c r="J249" s="16" t="str">
        <x:v>2026-08-03—2026-08-08｜第9届世界青年跨国锦标赛｜U26 Women Teams｜SHANDONG YANTAI</x:v>
      </x:c>
    </x:row>
    <x:row r="250">
      <x:c r="A250" s="36" t="n">
        <x:v>191</x:v>
      </x:c>
      <x:c r="B250" s="36" t="str">
        <x:v>Yizhuo Zhang</x:v>
      </x:c>
      <x:c r="C250" s="64" t="str">
        <x:v>张一卓</x:v>
      </x:c>
      <x:c r="D250" s="36" t="n">
        <x:v>0</x:v>
      </x:c>
      <x:c r="E250" s="36" t="n">
        <x:v>0</x:v>
      </x:c>
      <x:c r="F250" s="36" t="n">
        <x:v>1</x:v>
      </x:c>
      <x:c r="G250" s="36" t="n">
        <x:v>1</x:v>
      </x:c>
      <x:c r="H250" s="35" t="str"/>
      <x:c r="I250" s="35" t="str"/>
      <x:c r="J250" s="35" t="str">
        <x:v>2008-10-03—2008-10-18｜第1届世界智力运动会 / 世界桥牌运动会｜U28 Teams 青年团体｜CHINA</x:v>
      </x:c>
    </x:row>
    <x:row r="251">
      <x:c r="A251" s="17" t="n">
        <x:v>191</x:v>
      </x:c>
      <x:c r="B251" s="17" t="str">
        <x:v>Yong Mei Zhou</x:v>
      </x:c>
      <x:c r="C251" s="67" t="str">
        <x:v>周咏梅</x:v>
      </x:c>
      <x:c r="D251" s="17" t="n">
        <x:v>0</x:v>
      </x:c>
      <x:c r="E251" s="17" t="n">
        <x:v>0</x:v>
      </x:c>
      <x:c r="F251" s="17" t="n">
        <x:v>1</x:v>
      </x:c>
      <x:c r="G251" s="17" t="n">
        <x:v>1</x:v>
      </x:c>
      <x:c r="H251" s="16" t="str"/>
      <x:c r="I251" s="16" t="str"/>
      <x:c r="J251" s="16" t="str">
        <x:v>2014-10｜世界桥牌综合锦标赛｜Mixed Teams 混合团体｜CHINA</x:v>
      </x:c>
    </x:row>
    <x:row r="252">
      <x:c r="A252" s="36" t="n">
        <x:v>191</x:v>
      </x:c>
      <x:c r="B252" s="36" t="str">
        <x:v>Yuchen Ye</x:v>
      </x:c>
      <x:c r="C252" s="64" t="str">
        <x:v>叶宇辰</x:v>
      </x:c>
      <x:c r="D252" s="36" t="n">
        <x:v>0</x:v>
      </x:c>
      <x:c r="E252" s="36" t="n">
        <x:v>0</x:v>
      </x:c>
      <x:c r="F252" s="36" t="n">
        <x:v>1</x:v>
      </x:c>
      <x:c r="G252" s="36" t="n">
        <x:v>1</x:v>
      </x:c>
      <x:c r="H252" s="35" t="str"/>
      <x:c r="I252" s="35" t="str"/>
      <x:c r="J252" s="35" t="str">
        <x:v>2026-08-03—2026-08-08｜第9届世界青年跨国锦标赛｜U16 Teams｜SHANGHAI NTBC TANK</x:v>
      </x:c>
    </x:row>
    <x:row r="253">
      <x:c r="A253" s="17" t="n">
        <x:v>191</x:v>
      </x:c>
      <x:c r="B253" s="17" t="str">
        <x:v>Yueling Gu</x:v>
      </x:c>
      <x:c r="C253" s="67" t="str">
        <x:v>顾悦玲</x:v>
      </x:c>
      <x:c r="D253" s="17" t="n">
        <x:v>0</x:v>
      </x:c>
      <x:c r="E253" s="17" t="n">
        <x:v>0</x:v>
      </x:c>
      <x:c r="F253" s="17" t="n">
        <x:v>1</x:v>
      </x:c>
      <x:c r="G253" s="17" t="n">
        <x:v>1</x:v>
      </x:c>
      <x:c r="H253" s="16" t="str"/>
      <x:c r="I253" s="16" t="str"/>
      <x:c r="J253" s="16" t="str">
        <x:v>2017-08-15—2017-08-24｜第5届世界青年公开锦标赛｜U26 Women Teams / Girls Teams｜SH XIN JIANGNAN TEAM</x:v>
      </x:c>
    </x:row>
    <x:row r="254">
      <x:c r="A254" s="36" t="n">
        <x:v>191</x:v>
      </x:c>
      <x:c r="B254" s="36" t="str">
        <x:v>Yuran Zhang</x:v>
      </x:c>
      <x:c r="C254" s="64" t="str">
        <x:v>张予然</x:v>
      </x:c>
      <x:c r="D254" s="36" t="n">
        <x:v>0</x:v>
      </x:c>
      <x:c r="E254" s="36" t="n">
        <x:v>0</x:v>
      </x:c>
      <x:c r="F254" s="36" t="n">
        <x:v>1</x:v>
      </x:c>
      <x:c r="G254" s="36" t="n">
        <x:v>1</x:v>
      </x:c>
      <x:c r="H254" s="35" t="str"/>
      <x:c r="I254" s="35" t="str"/>
      <x:c r="J254" s="35" t="str">
        <x:v>2026-08-03—2026-08-08｜第9届世界青年跨国锦标赛｜U16 Teams｜SHANGHAI NTBC TANK</x:v>
      </x:c>
    </x:row>
    <x:row r="255">
      <x:c r="A255" s="17" t="n">
        <x:v>191</x:v>
      </x:c>
      <x:c r="B255" s="17" t="str">
        <x:v>Zhe Wu</x:v>
      </x:c>
      <x:c r="C255" s="67" t="str">
        <x:v>吴哲</x:v>
      </x:c>
      <x:c r="D255" s="17" t="n">
        <x:v>0</x:v>
      </x:c>
      <x:c r="E255" s="17" t="n">
        <x:v>0</x:v>
      </x:c>
      <x:c r="F255" s="17" t="n">
        <x:v>1</x:v>
      </x:c>
      <x:c r="G255" s="17" t="n">
        <x:v>1</x:v>
      </x:c>
      <x:c r="H255" s="16" t="str"/>
      <x:c r="I255" s="16" t="str"/>
      <x:c r="J255" s="16" t="str">
        <x:v>2015-08-20—2015-08-29｜第4届世界青年公开锦标赛｜U16 Pairs / Kids Pairs｜Zhe Wu – Zhijie Yuan</x:v>
      </x:c>
    </x:row>
    <x:row r="256">
      <x:c r="A256" s="36" t="n">
        <x:v>191</x:v>
      </x:c>
      <x:c r="B256" s="36" t="str">
        <x:v>Zhenguo Wu</x:v>
      </x:c>
      <x:c r="C256" s="64" t="str">
        <x:v>吴镇国</x:v>
      </x:c>
      <x:c r="D256" s="36" t="n">
        <x:v>0</x:v>
      </x:c>
      <x:c r="E256" s="36" t="n">
        <x:v>0</x:v>
      </x:c>
      <x:c r="F256" s="36" t="n">
        <x:v>1</x:v>
      </x:c>
      <x:c r="G256" s="36" t="n">
        <x:v>1</x:v>
      </x:c>
      <x:c r="H256" s="35" t="str"/>
      <x:c r="I256" s="35" t="str"/>
      <x:c r="J256" s="35" t="str">
        <x:v>2008-10-03—2008-10-18｜第1届世界智力运动会 / 世界桥牌运动会｜U28 Teams 青年团体｜CHINA</x:v>
      </x:c>
    </x:row>
    <x:row r="257">
      <x:c r="A257" s="17" t="n">
        <x:v>191</x:v>
      </x:c>
      <x:c r="B257" s="17" t="str">
        <x:v>Zhenyue Lu</x:v>
      </x:c>
      <x:c r="C257" s="64" t="str">
        <x:v>陆振岳</x:v>
      </x:c>
      <x:c r="D257" s="17" t="n">
        <x:v>0</x:v>
      </x:c>
      <x:c r="E257" s="17" t="n">
        <x:v>0</x:v>
      </x:c>
      <x:c r="F257" s="17" t="n">
        <x:v>1</x:v>
      </x:c>
      <x:c r="G257" s="17" t="n">
        <x:v>1</x:v>
      </x:c>
      <x:c r="H257" s="16" t="str"/>
      <x:c r="I257" s="16" t="str"/>
      <x:c r="J257" s="16" t="str">
        <x:v>2019-08-20—2019-08-29｜第6届世界青年公开锦标赛｜U16 Teams｜SXSATURN</x:v>
      </x:c>
    </x:row>
    <x:row r="258">
      <x:c r="A258" s="36" t="n">
        <x:v>191</x:v>
      </x:c>
      <x:c r="B258" s="36" t="str">
        <x:v>Zhixian Tian</x:v>
      </x:c>
      <x:c r="C258" s="64" t="str">
        <x:v>田志贤</x:v>
      </x:c>
      <x:c r="D258" s="36" t="n">
        <x:v>0</x:v>
      </x:c>
      <x:c r="E258" s="36" t="n">
        <x:v>0</x:v>
      </x:c>
      <x:c r="F258" s="36" t="n">
        <x:v>1</x:v>
      </x:c>
      <x:c r="G258" s="36" t="n">
        <x:v>1</x:v>
      </x:c>
      <x:c r="H258" s="35" t="str"/>
      <x:c r="I258" s="35" t="str"/>
      <x:c r="J258" s="35" t="str">
        <x:v>2019-08-20—2019-08-29｜第6届世界青年公开锦标赛｜U16 Teams｜SXSATURN</x:v>
      </x:c>
    </x:row>
    <x:row r="259">
      <x:c r="A259" s="17" t="n">
        <x:v>191</x:v>
      </x:c>
      <x:c r="B259" s="17" t="str">
        <x:v>Zhizhou Sha</x:v>
      </x:c>
      <x:c r="C259" s="67" t="str">
        <x:v>沙志舟</x:v>
      </x:c>
      <x:c r="D259" s="17" t="n">
        <x:v>0</x:v>
      </x:c>
      <x:c r="E259" s="17" t="n">
        <x:v>0</x:v>
      </x:c>
      <x:c r="F259" s="17" t="n">
        <x:v>1</x:v>
      </x:c>
      <x:c r="G259" s="17" t="n">
        <x:v>1</x:v>
      </x:c>
      <x:c r="H259" s="16" t="str"/>
      <x:c r="I259" s="16" t="str"/>
      <x:c r="J259" s="16" t="str">
        <x:v>2013｜第3届世界青年公开锦标赛｜U21 Teams / Youngsters Teams｜CHINA XNWY</x:v>
      </x:c>
    </x:row>
    <x:row r="260">
      <x:c r="A260" s="36" t="n">
        <x:v>191</x:v>
      </x:c>
      <x:c r="B260" s="36" t="str">
        <x:v>Zimo Chen</x:v>
      </x:c>
      <x:c r="C260" s="64" t="str">
        <x:v>陈子墨</x:v>
      </x:c>
      <x:c r="D260" s="36" t="n">
        <x:v>0</x:v>
      </x:c>
      <x:c r="E260" s="36" t="n">
        <x:v>0</x:v>
      </x:c>
      <x:c r="F260" s="36" t="n">
        <x:v>1</x:v>
      </x:c>
      <x:c r="G260" s="36" t="n">
        <x:v>1</x:v>
      </x:c>
      <x:c r="H260" s="35" t="str"/>
      <x:c r="I260" s="35" t="str"/>
      <x:c r="J260" s="35" t="str">
        <x:v>2026-08-03—2026-08-08｜第9届世界青年跨国锦标赛｜U16 Teams｜SHANGHAI NTBC TANK</x:v>
      </x:c>
    </x:row>
    <x:row r="261">
      <x:c r="A261" s="17" t="n">
        <x:v>191</x:v>
      </x:c>
      <x:c r="B261" s="17" t="str">
        <x:v>Zisu Lin</x:v>
      </x:c>
      <x:c r="C261" s="64" t="str">
        <x:v>林子苏</x:v>
      </x:c>
      <x:c r="D261" s="17" t="n">
        <x:v>0</x:v>
      </x:c>
      <x:c r="E261" s="17" t="n">
        <x:v>0</x:v>
      </x:c>
      <x:c r="F261" s="17" t="n">
        <x:v>1</x:v>
      </x:c>
      <x:c r="G261" s="17" t="n">
        <x:v>1</x:v>
      </x:c>
      <x:c r="H261" s="16" t="str"/>
      <x:c r="I261" s="16" t="str"/>
      <x:c r="J261" s="16" t="str">
        <x:v>2010-10｜世界青年团体锦标赛｜U26 Teams｜CHINA</x:v>
      </x:c>
    </x:row>
  </x:sheetData>
  <x:mergeCells>
    <x:mergeCell ref="A1:J1"/>
    <x:mergeCell ref="A2:J2"/>
    <x:mergeCell ref="A3:B3"/>
    <x:mergeCell ref="C3:D3"/>
    <x:mergeCell ref="E3:F3"/>
    <x:mergeCell ref="G3:J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26" hidden="0" customWidth="1"/>
    <x:col min="4" max="4" width="32" hidden="0" customWidth="1"/>
    <x:col min="5" max="5" width="7" hidden="0" customWidth="1"/>
    <x:col min="6" max="6" width="26"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46" hidden="0" customWidth="1"/>
  </x:cols>
  <x:sheetData>
    <x:row r="1" ht="30" customHeight="1">
      <x:c r="A1" s="39" t="str">
        <x:v>中国奖牌折算（逐项台账 + 2023官方对齐）</x:v>
      </x:c>
      <x:c r="B1" s="39"/>
      <x:c r="C1" s="39"/>
      <x:c r="D1" s="39"/>
      <x:c r="E1" s="39"/>
      <x:c r="F1" s="39"/>
      <x:c r="G1" s="39"/>
      <x:c r="H1" s="39"/>
      <x:c r="I1" s="39"/>
      <x:c r="J1" s="39"/>
      <x:c r="K1" s="39"/>
      <x:c r="L1" s="39"/>
      <x:c r="M1" s="39"/>
    </x:row>
    <x:row r="2" ht="54" customHeight="1">
      <x:c r="A2" s="87" t="str">
        <x:v>逐项份额=阵容中CHN选手数÷全部参赛选手数。逐项清单复核补入2008 U28团体铜牌后，截至2023为18.50金、25.67银、34.33铜；官方尚有1银、5铜未落实到具体项目和个人。</x:v>
      </x:c>
      <x:c r="B2" s="87"/>
      <x:c r="C2" s="87"/>
      <x:c r="D2" s="87"/>
      <x:c r="E2" s="87"/>
      <x:c r="F2" s="87"/>
      <x:c r="G2" s="87"/>
      <x:c r="H2" s="87"/>
      <x:c r="I2" s="87"/>
      <x:c r="J2" s="87"/>
      <x:c r="K2" s="87"/>
      <x:c r="L2" s="87"/>
      <x:c r="M2" s="87"/>
    </x:row>
    <x:row r="4">
      <x:c r="A4" s="46" t="str">
        <x:v>口径</x:v>
      </x:c>
      <x:c r="B4" s="46" t="str">
        <x:v>金牌</x:v>
      </x:c>
      <x:c r="C4" s="46" t="str">
        <x:v>银牌</x:v>
      </x:c>
      <x:c r="D4" s="46" t="str">
        <x:v>铜牌</x:v>
      </x:c>
      <x:c r="E4" s="46" t="str">
        <x:v>合计</x:v>
      </x:c>
      <x:c r="F4" s="46" t="str">
        <x:v>截止点</x:v>
      </x:c>
      <x:c r="G4" s="46" t="str">
        <x:v>说明</x:v>
      </x:c>
    </x:row>
    <x:row r="5">
      <x:c r="A5" s="16" t="str">
        <x:v>逐项可核验记录</x:v>
      </x:c>
      <x:c r="B5" s="73" t="n">
        <x:v>18.5</x:v>
      </x:c>
      <x:c r="C5" s="73" t="n">
        <x:v>25.666666666666668</x:v>
      </x:c>
      <x:c r="D5" s="73" t="n">
        <x:v>34.33333333333333</x:v>
      </x:c>
      <x:c r="E5" s="73" t="n">
        <x:v>78.5</x:v>
      </x:c>
      <x:c r="F5" s="16" t="str">
        <x:v>2023马拉喀什结束</x:v>
      </x:c>
      <x:c r="G5" s="16" t="str">
        <x:v>含2023 U16 BAM金牌及本版补入的2008 U28团体铜牌</x:v>
      </x:c>
    </x:row>
    <x:row r="6">
      <x:c r="A6" s="16" t="str">
        <x:v>由官方累计表反推的未拆分差额</x:v>
      </x:c>
      <x:c r="B6" s="73" t="n">
        <x:v>0</x:v>
      </x:c>
      <x:c r="C6" s="73" t="n">
        <x:v>1</x:v>
      </x:c>
      <x:c r="D6" s="73" t="n">
        <x:v>5</x:v>
      </x:c>
      <x:c r="E6" s="73" t="n">
        <x:v>6</x:v>
      </x:c>
      <x:c r="F6" s="16" t="str">
        <x:v>2023马拉喀什结束</x:v>
      </x:c>
      <x:c r="G6" s="16" t="str">
        <x:v>国家级对齐项（非WBF逐项说明），不分配个人</x:v>
      </x:c>
    </x:row>
    <x:row r="7">
      <x:c r="A7" s="72" t="str">
        <x:v>WBF官方累计</x:v>
      </x:c>
      <x:c r="B7" s="74" t="n">
        <x:v>18.5</x:v>
      </x:c>
      <x:c r="C7" s="74" t="n">
        <x:v>26.6666667</x:v>
      </x:c>
      <x:c r="D7" s="74" t="n">
        <x:v>39.3333333</x:v>
      </x:c>
      <x:c r="E7" s="74" t="n">
        <x:v>84.5</x:v>
      </x:c>
      <x:c r="F7" s="72" t="str">
        <x:v>2023马拉喀什结束</x:v>
      </x:c>
      <x:c r="G7" s="72" t="str">
        <x:v>与官方表显示18.50 / 26.67 / 39.33 / 84.50一致</x:v>
      </x:c>
    </x:row>
    <x:row r="8">
      <x:c r="A8" s="16" t="str">
        <x:v>逐项可核验记录（全表）</x:v>
      </x:c>
      <x:c r="B8" s="73" t="n">
        <x:v>24</x:v>
      </x:c>
      <x:c r="C8" s="73" t="n">
        <x:v>34.91666666666667</x:v>
      </x:c>
      <x:c r="D8" s="73" t="n">
        <x:v>39.83333333333333</x:v>
      </x:c>
      <x:c r="E8" s="73" t="n">
        <x:v>98.75</x:v>
      </x:c>
      <x:c r="F8" s="16" t="str">
        <x:v>2026-08-20</x:v>
      </x:c>
      <x:c r="G8" s="16" t="str">
        <x:v>不把2023未拆分调整延伸分配到后续个人榜</x:v>
      </x:c>
    </x:row>
    <x:row r="11">
      <x:c r="A11" s="46" t="str">
        <x:v>记录ID</x:v>
      </x:c>
      <x:c r="B11" s="46" t="str">
        <x:v>比赛时间</x:v>
      </x:c>
      <x:c r="C11" s="46" t="str">
        <x:v>比赛名称</x:v>
      </x:c>
      <x:c r="D11" s="46" t="str">
        <x:v>项目</x:v>
      </x:c>
      <x:c r="E11" s="46" t="str">
        <x:v>名次</x:v>
      </x:c>
      <x:c r="F11" s="46" t="str">
        <x:v>获奖队/组合</x:v>
      </x:c>
      <x:c r="G11" s="46" t="str">
        <x:v>CHN选手数</x:v>
      </x:c>
      <x:c r="H11" s="46" t="str">
        <x:v>阵容总人数</x:v>
      </x:c>
      <x:c r="I11" s="46" t="str">
        <x:v>中国份额</x:v>
      </x:c>
      <x:c r="J11" s="46" t="str">
        <x:v>折算金牌</x:v>
      </x:c>
      <x:c r="K11" s="46" t="str">
        <x:v>折算银牌</x:v>
      </x:c>
      <x:c r="L11" s="46" t="str">
        <x:v>折算铜牌</x:v>
      </x:c>
      <x:c r="M11" s="46" t="str">
        <x:v>外籍队友（如有）</x:v>
      </x:c>
    </x:row>
    <x:row r="12">
      <x:c r="A12" s="16" t="str">
        <x:v>WBF-001</x:v>
      </x:c>
      <x:c r="B12" s="16" t="str">
        <x:v>1991</x:v>
      </x:c>
      <x:c r="C12" s="16" t="str">
        <x:v>世界桥牌团体锦标赛</x:v>
      </x:c>
      <x:c r="D12" s="16" t="str">
        <x:v>Venice Cup 女子团体</x:v>
      </x:c>
      <x:c r="E12" s="16" t="n">
        <x:v>3</x:v>
      </x:c>
      <x:c r="F12" s="16" t="str">
        <x:v>CHINA</x:v>
      </x:c>
      <x:c r="G12" s="17" t="n">
        <x:v>4</x:v>
      </x:c>
      <x:c r="H12" s="17" t="n">
        <x:v>4</x:v>
      </x:c>
      <x:c r="I12" s="75" t="n">
        <x:v>1</x:v>
      </x:c>
      <x:c r="J12" s="75" t="n">
        <x:v>0</x:v>
      </x:c>
      <x:c r="K12" s="75" t="n">
        <x:v>0</x:v>
      </x:c>
      <x:c r="L12" s="75" t="n">
        <x:v>1</x:v>
      </x:c>
      <x:c r="M12" s="16" t="str"/>
    </x:row>
    <x:row r="13">
      <x:c r="A13" s="35" t="str">
        <x:v>WBF-002</x:v>
      </x:c>
      <x:c r="B13" s="35" t="str">
        <x:v>1996</x:v>
      </x:c>
      <x:c r="C13" s="35" t="str">
        <x:v>世界桥牌团体奥林匹克赛</x:v>
      </x:c>
      <x:c r="D13" s="35" t="str">
        <x:v>女子团体</x:v>
      </x:c>
      <x:c r="E13" s="35" t="n">
        <x:v>2</x:v>
      </x:c>
      <x:c r="F13" s="35" t="str">
        <x:v>CHINA</x:v>
      </x:c>
      <x:c r="G13" s="36" t="n">
        <x:v>6</x:v>
      </x:c>
      <x:c r="H13" s="36" t="n">
        <x:v>6</x:v>
      </x:c>
      <x:c r="I13" s="76" t="n">
        <x:v>1</x:v>
      </x:c>
      <x:c r="J13" s="76" t="n">
        <x:v>0</x:v>
      </x:c>
      <x:c r="K13" s="76" t="n">
        <x:v>1</x:v>
      </x:c>
      <x:c r="L13" s="76" t="n">
        <x:v>0</x:v>
      </x:c>
      <x:c r="M13" s="35" t="str"/>
    </x:row>
    <x:row r="14">
      <x:c r="A14" s="16" t="str">
        <x:v>WBF-003</x:v>
      </x:c>
      <x:c r="B14" s="16" t="str">
        <x:v>1997</x:v>
      </x:c>
      <x:c r="C14" s="16" t="str">
        <x:v>世界桥牌团体锦标赛</x:v>
      </x:c>
      <x:c r="D14" s="16" t="str">
        <x:v>Venice Cup 女子团体</x:v>
      </x:c>
      <x:c r="E14" s="16" t="n">
        <x:v>2</x:v>
      </x:c>
      <x:c r="F14" s="16" t="str">
        <x:v>CHINA</x:v>
      </x:c>
      <x:c r="G14" s="17" t="n">
        <x:v>6</x:v>
      </x:c>
      <x:c r="H14" s="17" t="n">
        <x:v>6</x:v>
      </x:c>
      <x:c r="I14" s="75" t="n">
        <x:v>1</x:v>
      </x:c>
      <x:c r="J14" s="75" t="n">
        <x:v>0</x:v>
      </x:c>
      <x:c r="K14" s="75" t="n">
        <x:v>1</x:v>
      </x:c>
      <x:c r="L14" s="75" t="n">
        <x:v>0</x:v>
      </x:c>
      <x:c r="M14" s="16" t="str"/>
    </x:row>
    <x:row r="15">
      <x:c r="A15" s="35" t="str">
        <x:v>WBF-004</x:v>
      </x:c>
      <x:c r="B15" s="35" t="str">
        <x:v>2003</x:v>
      </x:c>
      <x:c r="C15" s="35" t="str">
        <x:v>世界桥牌团体锦标赛</x:v>
      </x:c>
      <x:c r="D15" s="35" t="str">
        <x:v>Transnational Open Teams 跨国公开团体</x:v>
      </x:c>
      <x:c r="E15" s="35" t="n">
        <x:v>2</x:v>
      </x:c>
      <x:c r="F15" s="35" t="str">
        <x:v>CHINA</x:v>
      </x:c>
      <x:c r="G15" s="36" t="n">
        <x:v>5</x:v>
      </x:c>
      <x:c r="H15" s="36" t="n">
        <x:v>5</x:v>
      </x:c>
      <x:c r="I15" s="76" t="n">
        <x:v>1</x:v>
      </x:c>
      <x:c r="J15" s="76" t="n">
        <x:v>0</x:v>
      </x:c>
      <x:c r="K15" s="76" t="n">
        <x:v>1</x:v>
      </x:c>
      <x:c r="L15" s="76" t="n">
        <x:v>0</x:v>
      </x:c>
      <x:c r="M15" s="35" t="str"/>
    </x:row>
    <x:row r="16">
      <x:c r="A16" s="16" t="str">
        <x:v>WBF-005</x:v>
      </x:c>
      <x:c r="B16" s="16" t="str">
        <x:v>2003</x:v>
      </x:c>
      <x:c r="C16" s="16" t="str">
        <x:v>世界桥牌团体锦标赛</x:v>
      </x:c>
      <x:c r="D16" s="16" t="str">
        <x:v>Venice Cup 女子团体</x:v>
      </x:c>
      <x:c r="E16" s="16" t="n">
        <x:v>2</x:v>
      </x:c>
      <x:c r="F16" s="16" t="str">
        <x:v>CHINA</x:v>
      </x:c>
      <x:c r="G16" s="17" t="n">
        <x:v>6</x:v>
      </x:c>
      <x:c r="H16" s="17" t="n">
        <x:v>6</x:v>
      </x:c>
      <x:c r="I16" s="75" t="n">
        <x:v>1</x:v>
      </x:c>
      <x:c r="J16" s="75" t="n">
        <x:v>0</x:v>
      </x:c>
      <x:c r="K16" s="75" t="n">
        <x:v>1</x:v>
      </x:c>
      <x:c r="L16" s="75" t="n">
        <x:v>0</x:v>
      </x:c>
      <x:c r="M16" s="16" t="str"/>
    </x:row>
    <x:row r="17">
      <x:c r="A17" s="35" t="str">
        <x:v>WBF-006</x:v>
      </x:c>
      <x:c r="B17" s="35" t="str">
        <x:v>2004</x:v>
      </x:c>
      <x:c r="C17" s="35" t="str">
        <x:v>世界桥牌奥林匹克赛</x:v>
      </x:c>
      <x:c r="D17" s="35" t="str">
        <x:v>Transnational Mixed Teams 跨国混合团体</x:v>
      </x:c>
      <x:c r="E17" s="35" t="n">
        <x:v>3</x:v>
      </x:c>
      <x:c r="F17" s="35" t="str">
        <x:v>CHINA</x:v>
      </x:c>
      <x:c r="G17" s="36" t="n">
        <x:v>6</x:v>
      </x:c>
      <x:c r="H17" s="36" t="n">
        <x:v>6</x:v>
      </x:c>
      <x:c r="I17" s="76" t="n">
        <x:v>1</x:v>
      </x:c>
      <x:c r="J17" s="76" t="n">
        <x:v>0</x:v>
      </x:c>
      <x:c r="K17" s="76" t="n">
        <x:v>0</x:v>
      </x:c>
      <x:c r="L17" s="76" t="n">
        <x:v>1</x:v>
      </x:c>
      <x:c r="M17" s="35" t="str"/>
    </x:row>
    <x:row r="18">
      <x:c r="A18" s="16" t="str">
        <x:v>WBF-007</x:v>
      </x:c>
      <x:c r="B18" s="16" t="str">
        <x:v>2006-06</x:v>
      </x:c>
      <x:c r="C18" s="16" t="str">
        <x:v>世界桥牌综合锦标赛</x:v>
      </x:c>
      <x:c r="D18" s="16" t="str">
        <x:v>Open Pairs 公开双人</x:v>
      </x:c>
      <x:c r="E18" s="16" t="n">
        <x:v>1</x:v>
      </x:c>
      <x:c r="F18" s="16" t="str">
        <x:v>Zhong Fu – Jie Zhao</x:v>
      </x:c>
      <x:c r="G18" s="17" t="n">
        <x:v>2</x:v>
      </x:c>
      <x:c r="H18" s="17" t="n">
        <x:v>2</x:v>
      </x:c>
      <x:c r="I18" s="75" t="n">
        <x:v>1</x:v>
      </x:c>
      <x:c r="J18" s="75" t="n">
        <x:v>1</x:v>
      </x:c>
      <x:c r="K18" s="75" t="n">
        <x:v>0</x:v>
      </x:c>
      <x:c r="L18" s="75" t="n">
        <x:v>0</x:v>
      </x:c>
      <x:c r="M18" s="16" t="str"/>
    </x:row>
    <x:row r="19">
      <x:c r="A19" s="35" t="str">
        <x:v>WBF-008</x:v>
      </x:c>
      <x:c r="B19" s="35" t="str">
        <x:v>2006-06</x:v>
      </x:c>
      <x:c r="C19" s="35" t="str">
        <x:v>世界桥牌综合锦标赛</x:v>
      </x:c>
      <x:c r="D19" s="35" t="str">
        <x:v>Women Pairs 女子双人</x:v>
      </x:c>
      <x:c r="E19" s="35" t="n">
        <x:v>2</x:v>
      </x:c>
      <x:c r="F19" s="35" t="str">
        <x:v>Hongli Wang – Wen Fei Wang</x:v>
      </x:c>
      <x:c r="G19" s="36" t="n">
        <x:v>2</x:v>
      </x:c>
      <x:c r="H19" s="36" t="n">
        <x:v>2</x:v>
      </x:c>
      <x:c r="I19" s="76" t="n">
        <x:v>1</x:v>
      </x:c>
      <x:c r="J19" s="76" t="n">
        <x:v>0</x:v>
      </x:c>
      <x:c r="K19" s="76" t="n">
        <x:v>1</x:v>
      </x:c>
      <x:c r="L19" s="76" t="n">
        <x:v>0</x:v>
      </x:c>
      <x:c r="M19" s="35" t="str"/>
    </x:row>
    <x:row r="20">
      <x:c r="A20" s="16" t="str">
        <x:v>WBF-009</x:v>
      </x:c>
      <x:c r="B20" s="16" t="str">
        <x:v>2007</x:v>
      </x:c>
      <x:c r="C20" s="16" t="str">
        <x:v>世界桥牌团体锦标赛</x:v>
      </x:c>
      <x:c r="D20" s="16" t="str">
        <x:v>Venice Cup 女子团体</x:v>
      </x:c>
      <x:c r="E20" s="16" t="n">
        <x:v>3</x:v>
      </x:c>
      <x:c r="F20" s="16" t="str">
        <x:v>CHINA</x:v>
      </x:c>
      <x:c r="G20" s="17" t="n">
        <x:v>6</x:v>
      </x:c>
      <x:c r="H20" s="17" t="n">
        <x:v>6</x:v>
      </x:c>
      <x:c r="I20" s="75" t="n">
        <x:v>1</x:v>
      </x:c>
      <x:c r="J20" s="75" t="n">
        <x:v>0</x:v>
      </x:c>
      <x:c r="K20" s="75" t="n">
        <x:v>0</x:v>
      </x:c>
      <x:c r="L20" s="75" t="n">
        <x:v>1</x:v>
      </x:c>
      <x:c r="M20" s="16" t="str"/>
    </x:row>
    <x:row r="21">
      <x:c r="A21" s="35" t="str">
        <x:v>WBF-010</x:v>
      </x:c>
      <x:c r="B21" s="35" t="str">
        <x:v>2008-10-03—2008-10-18</x:v>
      </x:c>
      <x:c r="C21" s="35" t="str">
        <x:v>第1届世界智力运动会 / 世界桥牌运动会</x:v>
      </x:c>
      <x:c r="D21" s="35" t="str">
        <x:v>Transnational Mixed Teams 跨国混合团体</x:v>
      </x:c>
      <x:c r="E21" s="35" t="n">
        <x:v>3</x:v>
      </x:c>
      <x:c r="F21" s="35" t="str">
        <x:v>A-EVERTRUST HOLDING GROUP</x:v>
      </x:c>
      <x:c r="G21" s="36" t="n">
        <x:v>6</x:v>
      </x:c>
      <x:c r="H21" s="36" t="n">
        <x:v>6</x:v>
      </x:c>
      <x:c r="I21" s="76" t="n">
        <x:v>1</x:v>
      </x:c>
      <x:c r="J21" s="76" t="n">
        <x:v>0</x:v>
      </x:c>
      <x:c r="K21" s="76" t="n">
        <x:v>0</x:v>
      </x:c>
      <x:c r="L21" s="76" t="n">
        <x:v>1</x:v>
      </x:c>
      <x:c r="M21" s="35" t="str"/>
    </x:row>
    <x:row r="22">
      <x:c r="A22" s="16" t="str">
        <x:v>WBF-011</x:v>
      </x:c>
      <x:c r="B22" s="16" t="str">
        <x:v>2008-10-03—2008-10-18</x:v>
      </x:c>
      <x:c r="C22" s="16" t="str">
        <x:v>第1届世界智力运动会 / 世界桥牌运动会</x:v>
      </x:c>
      <x:c r="D22" s="16" t="str">
        <x:v>U21 Teams 青年团体</x:v>
      </x:c>
      <x:c r="E22" s="16" t="n">
        <x:v>3</x:v>
      </x:c>
      <x:c r="F22" s="16" t="str">
        <x:v>CHINA</x:v>
      </x:c>
      <x:c r="G22" s="17" t="n">
        <x:v>6</x:v>
      </x:c>
      <x:c r="H22" s="17" t="n">
        <x:v>6</x:v>
      </x:c>
      <x:c r="I22" s="75" t="n">
        <x:v>1</x:v>
      </x:c>
      <x:c r="J22" s="75" t="n">
        <x:v>0</x:v>
      </x:c>
      <x:c r="K22" s="75" t="n">
        <x:v>0</x:v>
      </x:c>
      <x:c r="L22" s="75" t="n">
        <x:v>1</x:v>
      </x:c>
      <x:c r="M22" s="16" t="str"/>
    </x:row>
    <x:row r="23">
      <x:c r="A23" s="35" t="str">
        <x:v>WBF-012</x:v>
      </x:c>
      <x:c r="B23" s="35" t="str">
        <x:v>2008-10-03—2008-10-18</x:v>
      </x:c>
      <x:c r="C23" s="35" t="str">
        <x:v>第1届世界智力运动会 / 世界桥牌运动会</x:v>
      </x:c>
      <x:c r="D23" s="35" t="str">
        <x:v>U28 Teams 青年团体</x:v>
      </x:c>
      <x:c r="E23" s="35" t="n">
        <x:v>3</x:v>
      </x:c>
      <x:c r="F23" s="35" t="str">
        <x:v>CHINA</x:v>
      </x:c>
      <x:c r="G23" s="36" t="n">
        <x:v>6</x:v>
      </x:c>
      <x:c r="H23" s="36" t="n">
        <x:v>6</x:v>
      </x:c>
      <x:c r="I23" s="76" t="n">
        <x:v>1</x:v>
      </x:c>
      <x:c r="J23" s="76" t="n">
        <x:v>0</x:v>
      </x:c>
      <x:c r="K23" s="76" t="n">
        <x:v>0</x:v>
      </x:c>
      <x:c r="L23" s="76" t="n">
        <x:v>1</x:v>
      </x:c>
      <x:c r="M23" s="35" t="str"/>
    </x:row>
    <x:row r="24">
      <x:c r="A24" s="16" t="str">
        <x:v>WBF-013</x:v>
      </x:c>
      <x:c r="B24" s="16" t="str">
        <x:v>2008-10-03—2008-10-18</x:v>
      </x:c>
      <x:c r="C24" s="16" t="str">
        <x:v>第1届世界智力运动会 / 世界桥牌运动会</x:v>
      </x:c>
      <x:c r="D24" s="16" t="str">
        <x:v>Women Teams 女子团体</x:v>
      </x:c>
      <x:c r="E24" s="16" t="n">
        <x:v>2</x:v>
      </x:c>
      <x:c r="F24" s="16" t="str">
        <x:v>CHINA</x:v>
      </x:c>
      <x:c r="G24" s="17" t="n">
        <x:v>6</x:v>
      </x:c>
      <x:c r="H24" s="17" t="n">
        <x:v>6</x:v>
      </x:c>
      <x:c r="I24" s="75" t="n">
        <x:v>1</x:v>
      </x:c>
      <x:c r="J24" s="75" t="n">
        <x:v>0</x:v>
      </x:c>
      <x:c r="K24" s="75" t="n">
        <x:v>1</x:v>
      </x:c>
      <x:c r="L24" s="75" t="n">
        <x:v>0</x:v>
      </x:c>
      <x:c r="M24" s="16" t="str"/>
    </x:row>
    <x:row r="25">
      <x:c r="A25" s="35" t="str">
        <x:v>WBF-014</x:v>
      </x:c>
      <x:c r="B25" s="35" t="str">
        <x:v>2008-10-03—2008-10-18</x:v>
      </x:c>
      <x:c r="C25" s="35" t="str">
        <x:v>第1届世界智力运动会 / 世界桥牌运动会</x:v>
      </x:c>
      <x:c r="D25" s="35" t="str">
        <x:v>World Masters Individual Women 女子个人</x:v>
      </x:c>
      <x:c r="E25" s="35" t="n">
        <x:v>3</x:v>
      </x:c>
      <x:c r="F25" s="35" t="str">
        <x:v>个人</x:v>
      </x:c>
      <x:c r="G25" s="36" t="n">
        <x:v>1</x:v>
      </x:c>
      <x:c r="H25" s="36" t="n">
        <x:v>1</x:v>
      </x:c>
      <x:c r="I25" s="76" t="n">
        <x:v>1</x:v>
      </x:c>
      <x:c r="J25" s="76" t="n">
        <x:v>0</x:v>
      </x:c>
      <x:c r="K25" s="76" t="n">
        <x:v>0</x:v>
      </x:c>
      <x:c r="L25" s="76" t="n">
        <x:v>1</x:v>
      </x:c>
      <x:c r="M25" s="35" t="str"/>
    </x:row>
    <x:row r="26">
      <x:c r="A26" s="16" t="str">
        <x:v>WBF-015</x:v>
      </x:c>
      <x:c r="B26" s="16" t="str">
        <x:v>2009-08-29—2009-09-12</x:v>
      </x:c>
      <x:c r="C26" s="16" t="str">
        <x:v>世界桥牌团体锦标赛</x:v>
      </x:c>
      <x:c r="D26" s="16" t="str">
        <x:v>Venice Cup 女子团体</x:v>
      </x:c>
      <x:c r="E26" s="16" t="n">
        <x:v>1</x:v>
      </x:c>
      <x:c r="F26" s="16" t="str">
        <x:v>CHINA LONG ZHU</x:v>
      </x:c>
      <x:c r="G26" s="17" t="n">
        <x:v>6</x:v>
      </x:c>
      <x:c r="H26" s="17" t="n">
        <x:v>6</x:v>
      </x:c>
      <x:c r="I26" s="75" t="n">
        <x:v>1</x:v>
      </x:c>
      <x:c r="J26" s="75" t="n">
        <x:v>1</x:v>
      </x:c>
      <x:c r="K26" s="75" t="n">
        <x:v>0</x:v>
      </x:c>
      <x:c r="L26" s="75" t="n">
        <x:v>0</x:v>
      </x:c>
      <x:c r="M26" s="16" t="str"/>
    </x:row>
    <x:row r="27">
      <x:c r="A27" s="35" t="str">
        <x:v>WBF-016</x:v>
      </x:c>
      <x:c r="B27" s="35" t="str">
        <x:v>2010-10</x:v>
      </x:c>
      <x:c r="C27" s="35" t="str">
        <x:v>世界桥牌综合锦标赛</x:v>
      </x:c>
      <x:c r="D27" s="35" t="str">
        <x:v>McConnell Cup 女子淘汰团体</x:v>
      </x:c>
      <x:c r="E27" s="35" t="n">
        <x:v>1</x:v>
      </x:c>
      <x:c r="F27" s="35" t="str">
        <x:v>CHINA LADIES TEAM</x:v>
      </x:c>
      <x:c r="G27" s="36" t="n">
        <x:v>6</x:v>
      </x:c>
      <x:c r="H27" s="36" t="n">
        <x:v>6</x:v>
      </x:c>
      <x:c r="I27" s="76" t="n">
        <x:v>1</x:v>
      </x:c>
      <x:c r="J27" s="76" t="n">
        <x:v>1</x:v>
      </x:c>
      <x:c r="K27" s="76" t="n">
        <x:v>0</x:v>
      </x:c>
      <x:c r="L27" s="76" t="n">
        <x:v>0</x:v>
      </x:c>
      <x:c r="M27" s="35" t="str"/>
    </x:row>
    <x:row r="28">
      <x:c r="A28" s="16" t="str">
        <x:v>WBF-017</x:v>
      </x:c>
      <x:c r="B28" s="16" t="str">
        <x:v>2010-10</x:v>
      </x:c>
      <x:c r="C28" s="16" t="str">
        <x:v>世界青年团体锦标赛</x:v>
      </x:c>
      <x:c r="D28" s="16" t="str">
        <x:v>U26 Teams</x:v>
      </x:c>
      <x:c r="E28" s="16" t="n">
        <x:v>3</x:v>
      </x:c>
      <x:c r="F28" s="16" t="str">
        <x:v>CHINA</x:v>
      </x:c>
      <x:c r="G28" s="17" t="n">
        <x:v>6</x:v>
      </x:c>
      <x:c r="H28" s="17" t="n">
        <x:v>6</x:v>
      </x:c>
      <x:c r="I28" s="75" t="n">
        <x:v>1</x:v>
      </x:c>
      <x:c r="J28" s="75" t="n">
        <x:v>0</x:v>
      </x:c>
      <x:c r="K28" s="75" t="n">
        <x:v>0</x:v>
      </x:c>
      <x:c r="L28" s="75" t="n">
        <x:v>1</x:v>
      </x:c>
      <x:c r="M28" s="16" t="str"/>
    </x:row>
    <x:row r="29">
      <x:c r="A29" s="35" t="str">
        <x:v>WBF-018</x:v>
      </x:c>
      <x:c r="B29" s="35" t="str">
        <x:v>2010-10</x:v>
      </x:c>
      <x:c r="C29" s="35" t="str">
        <x:v>世界青年团体锦标赛</x:v>
      </x:c>
      <x:c r="D29" s="35" t="str">
        <x:v>U26 Women Teams</x:v>
      </x:c>
      <x:c r="E29" s="35" t="n">
        <x:v>3</x:v>
      </x:c>
      <x:c r="F29" s="35" t="str">
        <x:v>CHINA</x:v>
      </x:c>
      <x:c r="G29" s="36" t="n">
        <x:v>6</x:v>
      </x:c>
      <x:c r="H29" s="36" t="n">
        <x:v>6</x:v>
      </x:c>
      <x:c r="I29" s="76" t="n">
        <x:v>1</x:v>
      </x:c>
      <x:c r="J29" s="76" t="n">
        <x:v>0</x:v>
      </x:c>
      <x:c r="K29" s="76" t="n">
        <x:v>0</x:v>
      </x:c>
      <x:c r="L29" s="76" t="n">
        <x:v>1</x:v>
      </x:c>
      <x:c r="M29" s="35" t="str"/>
    </x:row>
    <x:row r="30">
      <x:c r="A30" s="16" t="str">
        <x:v>WBF-019</x:v>
      </x:c>
      <x:c r="B30" s="16" t="str">
        <x:v>2012</x:v>
      </x:c>
      <x:c r="C30" s="16" t="str">
        <x:v>世界桥牌运动会</x:v>
      </x:c>
      <x:c r="D30" s="16" t="str">
        <x:v>Transnational Mixed Teams 跨国混合团体</x:v>
      </x:c>
      <x:c r="E30" s="16" t="n">
        <x:v>3</x:v>
      </x:c>
      <x:c r="F30" s="16" t="str">
        <x:v>CHINA</x:v>
      </x:c>
      <x:c r="G30" s="17" t="n">
        <x:v>6</x:v>
      </x:c>
      <x:c r="H30" s="17" t="n">
        <x:v>6</x:v>
      </x:c>
      <x:c r="I30" s="75" t="n">
        <x:v>1</x:v>
      </x:c>
      <x:c r="J30" s="75" t="n">
        <x:v>0</x:v>
      </x:c>
      <x:c r="K30" s="75" t="n">
        <x:v>0</x:v>
      </x:c>
      <x:c r="L30" s="75" t="n">
        <x:v>1</x:v>
      </x:c>
      <x:c r="M30" s="16" t="str"/>
    </x:row>
    <x:row r="31">
      <x:c r="A31" s="35" t="str">
        <x:v>WBF-020</x:v>
      </x:c>
      <x:c r="B31" s="35" t="str">
        <x:v>2012-07-25—2012-08-04</x:v>
      </x:c>
      <x:c r="C31" s="35" t="str">
        <x:v>世界青年团体锦标赛</x:v>
      </x:c>
      <x:c r="D31" s="35" t="str">
        <x:v>U26 Teams</x:v>
      </x:c>
      <x:c r="E31" s="35" t="n">
        <x:v>3</x:v>
      </x:c>
      <x:c r="F31" s="35" t="str">
        <x:v>CHINA</x:v>
      </x:c>
      <x:c r="G31" s="36" t="n">
        <x:v>6</x:v>
      </x:c>
      <x:c r="H31" s="36" t="n">
        <x:v>6</x:v>
      </x:c>
      <x:c r="I31" s="76" t="n">
        <x:v>1</x:v>
      </x:c>
      <x:c r="J31" s="76" t="n">
        <x:v>0</x:v>
      </x:c>
      <x:c r="K31" s="76" t="n">
        <x:v>0</x:v>
      </x:c>
      <x:c r="L31" s="76" t="n">
        <x:v>1</x:v>
      </x:c>
      <x:c r="M31" s="35" t="str"/>
    </x:row>
    <x:row r="32">
      <x:c r="A32" s="16" t="str">
        <x:v>WBF-021</x:v>
      </x:c>
      <x:c r="B32" s="16" t="str">
        <x:v>2013</x:v>
      </x:c>
      <x:c r="C32" s="16" t="str">
        <x:v>世界桥牌团体锦标赛</x:v>
      </x:c>
      <x:c r="D32" s="16" t="str">
        <x:v>Transnational Open Teams 跨国公开团体</x:v>
      </x:c>
      <x:c r="E32" s="16" t="n">
        <x:v>2</x:v>
      </x:c>
      <x:c r="F32" s="16" t="str">
        <x:v>CHINA</x:v>
      </x:c>
      <x:c r="G32" s="17" t="n">
        <x:v>6</x:v>
      </x:c>
      <x:c r="H32" s="17" t="n">
        <x:v>6</x:v>
      </x:c>
      <x:c r="I32" s="75" t="n">
        <x:v>1</x:v>
      </x:c>
      <x:c r="J32" s="75" t="n">
        <x:v>0</x:v>
      </x:c>
      <x:c r="K32" s="75" t="n">
        <x:v>1</x:v>
      </x:c>
      <x:c r="L32" s="75" t="n">
        <x:v>0</x:v>
      </x:c>
      <x:c r="M32" s="16" t="str"/>
    </x:row>
    <x:row r="33">
      <x:c r="A33" s="35" t="str">
        <x:v>WBF-022</x:v>
      </x:c>
      <x:c r="B33" s="35" t="str">
        <x:v>2013</x:v>
      </x:c>
      <x:c r="C33" s="35" t="str">
        <x:v>第3届世界青年公开锦标赛</x:v>
      </x:c>
      <x:c r="D33" s="35" t="str">
        <x:v>U21 Pairs / Youngsters Pairs</x:v>
      </x:c>
      <x:c r="E33" s="35" t="n">
        <x:v>3</x:v>
      </x:c>
      <x:c r="F33" s="35" t="str">
        <x:v>Kai Jin – Tianyi Jin</x:v>
      </x:c>
      <x:c r="G33" s="36" t="n">
        <x:v>2</x:v>
      </x:c>
      <x:c r="H33" s="36" t="n">
        <x:v>2</x:v>
      </x:c>
      <x:c r="I33" s="76" t="n">
        <x:v>1</x:v>
      </x:c>
      <x:c r="J33" s="76" t="n">
        <x:v>0</x:v>
      </x:c>
      <x:c r="K33" s="76" t="n">
        <x:v>0</x:v>
      </x:c>
      <x:c r="L33" s="76" t="n">
        <x:v>1</x:v>
      </x:c>
      <x:c r="M33" s="35" t="str"/>
    </x:row>
    <x:row r="34">
      <x:c r="A34" s="16" t="str">
        <x:v>WBF-023</x:v>
      </x:c>
      <x:c r="B34" s="16" t="str">
        <x:v>2013</x:v>
      </x:c>
      <x:c r="C34" s="16" t="str">
        <x:v>第3届世界青年公开锦标赛</x:v>
      </x:c>
      <x:c r="D34" s="16" t="str">
        <x:v>U21 Teams / Youngsters Teams</x:v>
      </x:c>
      <x:c r="E34" s="16" t="n">
        <x:v>3</x:v>
      </x:c>
      <x:c r="F34" s="16" t="str">
        <x:v>CHINA XNWY</x:v>
      </x:c>
      <x:c r="G34" s="17" t="n">
        <x:v>6</x:v>
      </x:c>
      <x:c r="H34" s="17" t="n">
        <x:v>6</x:v>
      </x:c>
      <x:c r="I34" s="75" t="n">
        <x:v>1</x:v>
      </x:c>
      <x:c r="J34" s="75" t="n">
        <x:v>0</x:v>
      </x:c>
      <x:c r="K34" s="75" t="n">
        <x:v>0</x:v>
      </x:c>
      <x:c r="L34" s="75" t="n">
        <x:v>1</x:v>
      </x:c>
      <x:c r="M34" s="16" t="str"/>
    </x:row>
    <x:row r="35">
      <x:c r="A35" s="35" t="str">
        <x:v>WBF-024</x:v>
      </x:c>
      <x:c r="B35" s="35" t="str">
        <x:v>2014-08-13—2014-08-23</x:v>
      </x:c>
      <x:c r="C35" s="35" t="str">
        <x:v>世界青年团体锦标赛</x:v>
      </x:c>
      <x:c r="D35" s="35" t="str">
        <x:v>U16 Teams</x:v>
      </x:c>
      <x:c r="E35" s="35" t="n">
        <x:v>3</x:v>
      </x:c>
      <x:c r="F35" s="35" t="str">
        <x:v>CHINA</x:v>
      </x:c>
      <x:c r="G35" s="36" t="n">
        <x:v>6</x:v>
      </x:c>
      <x:c r="H35" s="36" t="n">
        <x:v>6</x:v>
      </x:c>
      <x:c r="I35" s="76" t="n">
        <x:v>1</x:v>
      </x:c>
      <x:c r="J35" s="76" t="n">
        <x:v>0</x:v>
      </x:c>
      <x:c r="K35" s="76" t="n">
        <x:v>0</x:v>
      </x:c>
      <x:c r="L35" s="76" t="n">
        <x:v>1</x:v>
      </x:c>
      <x:c r="M35" s="35" t="str"/>
    </x:row>
    <x:row r="36">
      <x:c r="A36" s="16" t="str">
        <x:v>WBF-025</x:v>
      </x:c>
      <x:c r="B36" s="16" t="str">
        <x:v>2014-08-13—2014-08-23</x:v>
      </x:c>
      <x:c r="C36" s="16" t="str">
        <x:v>世界青年团体锦标赛</x:v>
      </x:c>
      <x:c r="D36" s="16" t="str">
        <x:v>U26 Women Teams</x:v>
      </x:c>
      <x:c r="E36" s="16" t="n">
        <x:v>2</x:v>
      </x:c>
      <x:c r="F36" s="16" t="str">
        <x:v>CHINA</x:v>
      </x:c>
      <x:c r="G36" s="17" t="n">
        <x:v>6</x:v>
      </x:c>
      <x:c r="H36" s="17" t="n">
        <x:v>6</x:v>
      </x:c>
      <x:c r="I36" s="75" t="n">
        <x:v>1</x:v>
      </x:c>
      <x:c r="J36" s="75" t="n">
        <x:v>0</x:v>
      </x:c>
      <x:c r="K36" s="75" t="n">
        <x:v>1</x:v>
      </x:c>
      <x:c r="L36" s="75" t="n">
        <x:v>0</x:v>
      </x:c>
      <x:c r="M36" s="16" t="str"/>
    </x:row>
    <x:row r="37">
      <x:c r="A37" s="35" t="str">
        <x:v>WBF-026</x:v>
      </x:c>
      <x:c r="B37" s="35" t="str">
        <x:v>2014-10</x:v>
      </x:c>
      <x:c r="C37" s="35" t="str">
        <x:v>世界桥牌综合锦标赛</x:v>
      </x:c>
      <x:c r="D37" s="35" t="str">
        <x:v>Mixed Pairs 混合双人</x:v>
      </x:c>
      <x:c r="E37" s="35" t="n">
        <x:v>1</x:v>
      </x:c>
      <x:c r="F37" s="35" t="str">
        <x:v>Jie Zhao – Kerri Sanborn</x:v>
      </x:c>
      <x:c r="G37" s="36" t="n">
        <x:v>1</x:v>
      </x:c>
      <x:c r="H37" s="36" t="n">
        <x:v>2</x:v>
      </x:c>
      <x:c r="I37" s="76" t="n">
        <x:v>0.5</x:v>
      </x:c>
      <x:c r="J37" s="76" t="n">
        <x:v>0.5</x:v>
      </x:c>
      <x:c r="K37" s="76" t="n">
        <x:v>0</x:v>
      </x:c>
      <x:c r="L37" s="76" t="n">
        <x:v>0</x:v>
      </x:c>
      <x:c r="M37" s="35" t="str">
        <x:v>Kerri Sanborn [USA]</x:v>
      </x:c>
    </x:row>
    <x:row r="38">
      <x:c r="A38" s="16" t="str">
        <x:v>WBF-027</x:v>
      </x:c>
      <x:c r="B38" s="16" t="str">
        <x:v>2014-10</x:v>
      </x:c>
      <x:c r="C38" s="16" t="str">
        <x:v>世界桥牌综合锦标赛</x:v>
      </x:c>
      <x:c r="D38" s="16" t="str">
        <x:v>Mixed Pairs 混合双人</x:v>
      </x:c>
      <x:c r="E38" s="16" t="n">
        <x:v>3</x:v>
      </x:c>
      <x:c r="F38" s="16" t="str">
        <x:v>Bangxiang Zhang – Nan Wang</x:v>
      </x:c>
      <x:c r="G38" s="17" t="n">
        <x:v>2</x:v>
      </x:c>
      <x:c r="H38" s="17" t="n">
        <x:v>2</x:v>
      </x:c>
      <x:c r="I38" s="75" t="n">
        <x:v>1</x:v>
      </x:c>
      <x:c r="J38" s="75" t="n">
        <x:v>0</x:v>
      </x:c>
      <x:c r="K38" s="75" t="n">
        <x:v>0</x:v>
      </x:c>
      <x:c r="L38" s="75" t="n">
        <x:v>1</x:v>
      </x:c>
      <x:c r="M38" s="16" t="str"/>
    </x:row>
    <x:row r="39">
      <x:c r="A39" s="35" t="str">
        <x:v>WBF-028</x:v>
      </x:c>
      <x:c r="B39" s="35" t="str">
        <x:v>2014-10</x:v>
      </x:c>
      <x:c r="C39" s="35" t="str">
        <x:v>世界桥牌综合锦标赛</x:v>
      </x:c>
      <x:c r="D39" s="35" t="str">
        <x:v>Mixed Teams 混合团体</x:v>
      </x:c>
      <x:c r="E39" s="35" t="n">
        <x:v>2</x:v>
      </x:c>
      <x:c r="F39" s="35" t="str">
        <x:v>CHINA</x:v>
      </x:c>
      <x:c r="G39" s="36" t="n">
        <x:v>6</x:v>
      </x:c>
      <x:c r="H39" s="36" t="n">
        <x:v>6</x:v>
      </x:c>
      <x:c r="I39" s="76" t="n">
        <x:v>1</x:v>
      </x:c>
      <x:c r="J39" s="76" t="n">
        <x:v>0</x:v>
      </x:c>
      <x:c r="K39" s="76" t="n">
        <x:v>1</x:v>
      </x:c>
      <x:c r="L39" s="76" t="n">
        <x:v>0</x:v>
      </x:c>
      <x:c r="M39" s="35" t="str"/>
    </x:row>
    <x:row r="40">
      <x:c r="A40" s="16" t="str">
        <x:v>WBF-029</x:v>
      </x:c>
      <x:c r="B40" s="16" t="str">
        <x:v>2014-10</x:v>
      </x:c>
      <x:c r="C40" s="16" t="str">
        <x:v>世界桥牌综合锦标赛</x:v>
      </x:c>
      <x:c r="D40" s="16" t="str">
        <x:v>Mixed Teams 混合团体</x:v>
      </x:c>
      <x:c r="E40" s="16" t="n">
        <x:v>3</x:v>
      </x:c>
      <x:c r="F40" s="16" t="str">
        <x:v>CHINA</x:v>
      </x:c>
      <x:c r="G40" s="17" t="n">
        <x:v>6</x:v>
      </x:c>
      <x:c r="H40" s="17" t="n">
        <x:v>6</x:v>
      </x:c>
      <x:c r="I40" s="75" t="n">
        <x:v>1</x:v>
      </x:c>
      <x:c r="J40" s="75" t="n">
        <x:v>0</x:v>
      </x:c>
      <x:c r="K40" s="75" t="n">
        <x:v>0</x:v>
      </x:c>
      <x:c r="L40" s="75" t="n">
        <x:v>1</x:v>
      </x:c>
      <x:c r="M40" s="16" t="str"/>
    </x:row>
    <x:row r="41">
      <x:c r="A41" s="35" t="str">
        <x:v>WBF-030</x:v>
      </x:c>
      <x:c r="B41" s="35" t="str">
        <x:v>2014-10</x:v>
      </x:c>
      <x:c r="C41" s="35" t="str">
        <x:v>世界桥牌综合锦标赛</x:v>
      </x:c>
      <x:c r="D41" s="35" t="str">
        <x:v>Women Pairs 女子双人</x:v>
      </x:c>
      <x:c r="E41" s="35" t="n">
        <x:v>1</x:v>
      </x:c>
      <x:c r="F41" s="35" t="str">
        <x:v>Tao Zhou – Shu Liu</x:v>
      </x:c>
      <x:c r="G41" s="36" t="n">
        <x:v>2</x:v>
      </x:c>
      <x:c r="H41" s="36" t="n">
        <x:v>2</x:v>
      </x:c>
      <x:c r="I41" s="76" t="n">
        <x:v>1</x:v>
      </x:c>
      <x:c r="J41" s="76" t="n">
        <x:v>1</x:v>
      </x:c>
      <x:c r="K41" s="76" t="n">
        <x:v>0</x:v>
      </x:c>
      <x:c r="L41" s="76" t="n">
        <x:v>0</x:v>
      </x:c>
      <x:c r="M41" s="35" t="str"/>
    </x:row>
    <x:row r="42">
      <x:c r="A42" s="16" t="str">
        <x:v>WBF-031</x:v>
      </x:c>
      <x:c r="B42" s="16" t="str">
        <x:v>2014-10</x:v>
      </x:c>
      <x:c r="C42" s="16" t="str">
        <x:v>世界桥牌综合锦标赛</x:v>
      </x:c>
      <x:c r="D42" s="16" t="str">
        <x:v>Women Pairs 女子双人</x:v>
      </x:c>
      <x:c r="E42" s="16" t="n">
        <x:v>2</x:v>
      </x:c>
      <x:c r="F42" s="16" t="str">
        <x:v>Yan Huang – Ling Gan</x:v>
      </x:c>
      <x:c r="G42" s="17" t="n">
        <x:v>2</x:v>
      </x:c>
      <x:c r="H42" s="17" t="n">
        <x:v>2</x:v>
      </x:c>
      <x:c r="I42" s="75" t="n">
        <x:v>1</x:v>
      </x:c>
      <x:c r="J42" s="75" t="n">
        <x:v>0</x:v>
      </x:c>
      <x:c r="K42" s="75" t="n">
        <x:v>1</x:v>
      </x:c>
      <x:c r="L42" s="75" t="n">
        <x:v>0</x:v>
      </x:c>
      <x:c r="M42" s="16" t="str"/>
    </x:row>
    <x:row r="43">
      <x:c r="A43" s="35" t="str">
        <x:v>WBF-032</x:v>
      </x:c>
      <x:c r="B43" s="35" t="str">
        <x:v>2014-10</x:v>
      </x:c>
      <x:c r="C43" s="35" t="str">
        <x:v>世界桥牌综合锦标赛</x:v>
      </x:c>
      <x:c r="D43" s="35" t="str">
        <x:v>Women Teams 女子团体</x:v>
      </x:c>
      <x:c r="E43" s="35" t="n">
        <x:v>2</x:v>
      </x:c>
      <x:c r="F43" s="35" t="str">
        <x:v>CHINA</x:v>
      </x:c>
      <x:c r="G43" s="36" t="n">
        <x:v>6</x:v>
      </x:c>
      <x:c r="H43" s="36" t="n">
        <x:v>6</x:v>
      </x:c>
      <x:c r="I43" s="76" t="n">
        <x:v>1</x:v>
      </x:c>
      <x:c r="J43" s="76" t="n">
        <x:v>0</x:v>
      </x:c>
      <x:c r="K43" s="76" t="n">
        <x:v>1</x:v>
      </x:c>
      <x:c r="L43" s="76" t="n">
        <x:v>0</x:v>
      </x:c>
      <x:c r="M43" s="35" t="str"/>
    </x:row>
    <x:row r="44">
      <x:c r="A44" s="16" t="str">
        <x:v>WBF-033</x:v>
      </x:c>
      <x:c r="B44" s="16" t="str">
        <x:v>2015</x:v>
      </x:c>
      <x:c r="C44" s="16" t="str">
        <x:v>世界桥牌团体锦标赛</x:v>
      </x:c>
      <x:c r="D44" s="16" t="str">
        <x:v>Transnational Open Teams 跨国公开团体</x:v>
      </x:c>
      <x:c r="E44" s="16" t="n">
        <x:v>3</x:v>
      </x:c>
      <x:c r="F44" s="16" t="str">
        <x:v>TRANSNATIONAL TEAM</x:v>
      </x:c>
      <x:c r="G44" s="17" t="n">
        <x:v>2</x:v>
      </x:c>
      <x:c r="H44" s="17" t="n">
        <x:v>6</x:v>
      </x:c>
      <x:c r="I44" s="75" t="n">
        <x:v>0.3333333333333333</x:v>
      </x:c>
      <x:c r="J44" s="75" t="n">
        <x:v>0</x:v>
      </x:c>
      <x:c r="K44" s="75" t="n">
        <x:v>0</x:v>
      </x:c>
      <x:c r="L44" s="75" t="n">
        <x:v>0.3333333333333333</x:v>
      </x:c>
      <x:c r="M44" s="16" t="str">
        <x:v>Juei-Yu Shih [TPE]；Chen Yeh [TPE]；Inon Liran [ISR]；Ehud Friedlander [ISR]</x:v>
      </x:c>
    </x:row>
    <x:row r="45">
      <x:c r="A45" s="35" t="str">
        <x:v>WBF-034</x:v>
      </x:c>
      <x:c r="B45" s="35" t="str">
        <x:v>2015-08-20—2015-08-29</x:v>
      </x:c>
      <x:c r="C45" s="35" t="str">
        <x:v>第4届世界青年公开锦标赛</x:v>
      </x:c>
      <x:c r="D45" s="35" t="str">
        <x:v>U16 Pairs / Kids Pairs</x:v>
      </x:c>
      <x:c r="E45" s="35" t="n">
        <x:v>3</x:v>
      </x:c>
      <x:c r="F45" s="35" t="str">
        <x:v>Zhe Wu – Zhijie Yuan</x:v>
      </x:c>
      <x:c r="G45" s="36" t="n">
        <x:v>2</x:v>
      </x:c>
      <x:c r="H45" s="36" t="n">
        <x:v>2</x:v>
      </x:c>
      <x:c r="I45" s="76" t="n">
        <x:v>1</x:v>
      </x:c>
      <x:c r="J45" s="76" t="n">
        <x:v>0</x:v>
      </x:c>
      <x:c r="K45" s="76" t="n">
        <x:v>0</x:v>
      </x:c>
      <x:c r="L45" s="76" t="n">
        <x:v>1</x:v>
      </x:c>
      <x:c r="M45" s="35" t="str"/>
    </x:row>
    <x:row r="46">
      <x:c r="A46" s="16" t="str">
        <x:v>WBF-035</x:v>
      </x:c>
      <x:c r="B46" s="16" t="str">
        <x:v>2015-08-20—2015-08-29</x:v>
      </x:c>
      <x:c r="C46" s="16" t="str">
        <x:v>第4届世界青年公开锦标赛</x:v>
      </x:c>
      <x:c r="D46" s="16" t="str">
        <x:v>U16 Teams / Kids Teams</x:v>
      </x:c>
      <x:c r="E46" s="16" t="n">
        <x:v>1</x:v>
      </x:c>
      <x:c r="F46" s="16" t="str">
        <x:v>SX HYSW</x:v>
      </x:c>
      <x:c r="G46" s="17" t="n">
        <x:v>6</x:v>
      </x:c>
      <x:c r="H46" s="17" t="n">
        <x:v>6</x:v>
      </x:c>
      <x:c r="I46" s="75" t="n">
        <x:v>1</x:v>
      </x:c>
      <x:c r="J46" s="75" t="n">
        <x:v>1</x:v>
      </x:c>
      <x:c r="K46" s="75" t="n">
        <x:v>0</x:v>
      </x:c>
      <x:c r="L46" s="75" t="n">
        <x:v>0</x:v>
      </x:c>
      <x:c r="M46" s="16" t="str"/>
    </x:row>
    <x:row r="47">
      <x:c r="A47" s="35" t="str">
        <x:v>WBF-036</x:v>
      </x:c>
      <x:c r="B47" s="35" t="str">
        <x:v>2015-08-20—2015-08-29</x:v>
      </x:c>
      <x:c r="C47" s="35" t="str">
        <x:v>第4届世界青年公开锦标赛</x:v>
      </x:c>
      <x:c r="D47" s="35" t="str">
        <x:v>U16 Teams / Kids Teams</x:v>
      </x:c>
      <x:c r="E47" s="35" t="n">
        <x:v>2</x:v>
      </x:c>
      <x:c r="F47" s="35" t="str">
        <x:v>CHINA RDFZ1</x:v>
      </x:c>
      <x:c r="G47" s="36" t="n">
        <x:v>6</x:v>
      </x:c>
      <x:c r="H47" s="36" t="n">
        <x:v>6</x:v>
      </x:c>
      <x:c r="I47" s="76" t="n">
        <x:v>1</x:v>
      </x:c>
      <x:c r="J47" s="76" t="n">
        <x:v>0</x:v>
      </x:c>
      <x:c r="K47" s="76" t="n">
        <x:v>1</x:v>
      </x:c>
      <x:c r="L47" s="76" t="n">
        <x:v>0</x:v>
      </x:c>
      <x:c r="M47" s="35" t="str"/>
    </x:row>
    <x:row r="48">
      <x:c r="A48" s="16" t="str">
        <x:v>WBF-037</x:v>
      </x:c>
      <x:c r="B48" s="16" t="str">
        <x:v>2015-08-20—2015-08-29</x:v>
      </x:c>
      <x:c r="C48" s="16" t="str">
        <x:v>第4届世界青年公开锦标赛</x:v>
      </x:c>
      <x:c r="D48" s="16" t="str">
        <x:v>U16 Teams / Kids Teams</x:v>
      </x:c>
      <x:c r="E48" s="16" t="n">
        <x:v>3</x:v>
      </x:c>
      <x:c r="F48" s="16" t="str">
        <x:v>SX XNWY</x:v>
      </x:c>
      <x:c r="G48" s="17" t="n">
        <x:v>6</x:v>
      </x:c>
      <x:c r="H48" s="17" t="n">
        <x:v>6</x:v>
      </x:c>
      <x:c r="I48" s="75" t="n">
        <x:v>1</x:v>
      </x:c>
      <x:c r="J48" s="75" t="n">
        <x:v>0</x:v>
      </x:c>
      <x:c r="K48" s="75" t="n">
        <x:v>0</x:v>
      </x:c>
      <x:c r="L48" s="75" t="n">
        <x:v>1</x:v>
      </x:c>
      <x:c r="M48" s="16" t="str"/>
    </x:row>
    <x:row r="49">
      <x:c r="A49" s="35" t="str">
        <x:v>WBF-038</x:v>
      </x:c>
      <x:c r="B49" s="35" t="str">
        <x:v>2015-08-20—2015-08-29</x:v>
      </x:c>
      <x:c r="C49" s="35" t="str">
        <x:v>第4届世界青年公开锦标赛</x:v>
      </x:c>
      <x:c r="D49" s="35" t="str">
        <x:v>U21 Pairs</x:v>
      </x:c>
      <x:c r="E49" s="35" t="n">
        <x:v>1</x:v>
      </x:c>
      <x:c r="F49" s="35" t="str">
        <x:v>Hongji Wei – Shiyu Sun</x:v>
      </x:c>
      <x:c r="G49" s="36" t="n">
        <x:v>2</x:v>
      </x:c>
      <x:c r="H49" s="36" t="n">
        <x:v>2</x:v>
      </x:c>
      <x:c r="I49" s="76" t="n">
        <x:v>1</x:v>
      </x:c>
      <x:c r="J49" s="76" t="n">
        <x:v>1</x:v>
      </x:c>
      <x:c r="K49" s="76" t="n">
        <x:v>0</x:v>
      </x:c>
      <x:c r="L49" s="76" t="n">
        <x:v>0</x:v>
      </x:c>
      <x:c r="M49" s="35" t="str"/>
    </x:row>
    <x:row r="50">
      <x:c r="A50" s="16" t="str">
        <x:v>WBF-039</x:v>
      </x:c>
      <x:c r="B50" s="16" t="str">
        <x:v>2015-08-20—2015-08-29</x:v>
      </x:c>
      <x:c r="C50" s="16" t="str">
        <x:v>第4届世界青年公开锦标赛</x:v>
      </x:c>
      <x:c r="D50" s="16" t="str">
        <x:v>U21 Pairs</x:v>
      </x:c>
      <x:c r="E50" s="16" t="n">
        <x:v>2</x:v>
      </x:c>
      <x:c r="F50" s="16" t="str">
        <x:v>Yichen Yin – Zhengyang Fang</x:v>
      </x:c>
      <x:c r="G50" s="17" t="n">
        <x:v>2</x:v>
      </x:c>
      <x:c r="H50" s="17" t="n">
        <x:v>2</x:v>
      </x:c>
      <x:c r="I50" s="75" t="n">
        <x:v>1</x:v>
      </x:c>
      <x:c r="J50" s="75" t="n">
        <x:v>0</x:v>
      </x:c>
      <x:c r="K50" s="75" t="n">
        <x:v>1</x:v>
      </x:c>
      <x:c r="L50" s="75" t="n">
        <x:v>0</x:v>
      </x:c>
      <x:c r="M50" s="16" t="str"/>
    </x:row>
    <x:row r="51">
      <x:c r="A51" s="35" t="str">
        <x:v>WBF-040</x:v>
      </x:c>
      <x:c r="B51" s="35" t="str">
        <x:v>2015-08-20—2015-08-29</x:v>
      </x:c>
      <x:c r="C51" s="35" t="str">
        <x:v>第4届世界青年公开锦标赛</x:v>
      </x:c>
      <x:c r="D51" s="35" t="str">
        <x:v>U21 Teams / Youngsters Teams</x:v>
      </x:c>
      <x:c r="E51" s="35" t="n">
        <x:v>1</x:v>
      </x:c>
      <x:c r="F51" s="35" t="str">
        <x:v>CHINA</x:v>
      </x:c>
      <x:c r="G51" s="36" t="n">
        <x:v>6</x:v>
      </x:c>
      <x:c r="H51" s="36" t="n">
        <x:v>6</x:v>
      </x:c>
      <x:c r="I51" s="76" t="n">
        <x:v>1</x:v>
      </x:c>
      <x:c r="J51" s="76" t="n">
        <x:v>1</x:v>
      </x:c>
      <x:c r="K51" s="76" t="n">
        <x:v>0</x:v>
      </x:c>
      <x:c r="L51" s="76" t="n">
        <x:v>0</x:v>
      </x:c>
      <x:c r="M51" s="35" t="str"/>
    </x:row>
    <x:row r="52">
      <x:c r="A52" s="16" t="str">
        <x:v>WBF-041</x:v>
      </x:c>
      <x:c r="B52" s="16" t="str">
        <x:v>2015-08-20—2015-08-29</x:v>
      </x:c>
      <x:c r="C52" s="16" t="str">
        <x:v>第4届世界青年公开锦标赛</x:v>
      </x:c>
      <x:c r="D52" s="16" t="str">
        <x:v>U26 Women Teams / Girls Teams</x:v>
      </x:c>
      <x:c r="E52" s="16" t="n">
        <x:v>2</x:v>
      </x:c>
      <x:c r="F52" s="16" t="str">
        <x:v>SX XHLD</x:v>
      </x:c>
      <x:c r="G52" s="17" t="n">
        <x:v>6</x:v>
      </x:c>
      <x:c r="H52" s="17" t="n">
        <x:v>6</x:v>
      </x:c>
      <x:c r="I52" s="75" t="n">
        <x:v>1</x:v>
      </x:c>
      <x:c r="J52" s="75" t="n">
        <x:v>0</x:v>
      </x:c>
      <x:c r="K52" s="75" t="n">
        <x:v>1</x:v>
      </x:c>
      <x:c r="L52" s="75" t="n">
        <x:v>0</x:v>
      </x:c>
      <x:c r="M52" s="16" t="str"/>
    </x:row>
    <x:row r="53">
      <x:c r="A53" s="35" t="str">
        <x:v>WBF-042</x:v>
      </x:c>
      <x:c r="B53" s="35" t="str">
        <x:v>2015-08-20—2015-08-29</x:v>
      </x:c>
      <x:c r="C53" s="35" t="str">
        <x:v>第4届世界青年公开锦标赛</x:v>
      </x:c>
      <x:c r="D53" s="35" t="str">
        <x:v>U26 Women Teams / Girls Teams</x:v>
      </x:c>
      <x:c r="E53" s="35" t="n">
        <x:v>3</x:v>
      </x:c>
      <x:c r="F53" s="35" t="str">
        <x:v>CHINA RDFZ GIRLS</x:v>
      </x:c>
      <x:c r="G53" s="36" t="n">
        <x:v>6</x:v>
      </x:c>
      <x:c r="H53" s="36" t="n">
        <x:v>6</x:v>
      </x:c>
      <x:c r="I53" s="76" t="n">
        <x:v>1</x:v>
      </x:c>
      <x:c r="J53" s="76" t="n">
        <x:v>0</x:v>
      </x:c>
      <x:c r="K53" s="76" t="n">
        <x:v>0</x:v>
      </x:c>
      <x:c r="L53" s="76" t="n">
        <x:v>1</x:v>
      </x:c>
      <x:c r="M53" s="35" t="str"/>
    </x:row>
    <x:row r="54">
      <x:c r="A54" s="16" t="str">
        <x:v>WBF-043</x:v>
      </x:c>
      <x:c r="B54" s="16" t="str">
        <x:v>2016</x:v>
      </x:c>
      <x:c r="C54" s="16" t="str">
        <x:v>世界桥牌运动会</x:v>
      </x:c>
      <x:c r="D54" s="16" t="str">
        <x:v>World National Women Pairs 女子国家双人</x:v>
      </x:c>
      <x:c r="E54" s="16" t="n">
        <x:v>3</x:v>
      </x:c>
      <x:c r="F54" s="16" t="str">
        <x:v>Ling Gu – Tao Zhou</x:v>
      </x:c>
      <x:c r="G54" s="17" t="n">
        <x:v>2</x:v>
      </x:c>
      <x:c r="H54" s="17" t="n">
        <x:v>2</x:v>
      </x:c>
      <x:c r="I54" s="75" t="n">
        <x:v>1</x:v>
      </x:c>
      <x:c r="J54" s="75" t="n">
        <x:v>0</x:v>
      </x:c>
      <x:c r="K54" s="75" t="n">
        <x:v>0</x:v>
      </x:c>
      <x:c r="L54" s="75" t="n">
        <x:v>1</x:v>
      </x:c>
      <x:c r="M54" s="16" t="str"/>
    </x:row>
    <x:row r="55">
      <x:c r="A55" s="35" t="str">
        <x:v>WBF-044</x:v>
      </x:c>
      <x:c r="B55" s="35" t="str">
        <x:v>2016</x:v>
      </x:c>
      <x:c r="C55" s="35" t="str">
        <x:v>世界桥牌运动会</x:v>
      </x:c>
      <x:c r="D55" s="35" t="str">
        <x:v>World National Women Teams 女子国家团体</x:v>
      </x:c>
      <x:c r="E55" s="35" t="n">
        <x:v>3</x:v>
      </x:c>
      <x:c r="F55" s="35" t="str">
        <x:v>CHINA</x:v>
      </x:c>
      <x:c r="G55" s="36" t="n">
        <x:v>6</x:v>
      </x:c>
      <x:c r="H55" s="36" t="n">
        <x:v>6</x:v>
      </x:c>
      <x:c r="I55" s="76" t="n">
        <x:v>1</x:v>
      </x:c>
      <x:c r="J55" s="76" t="n">
        <x:v>0</x:v>
      </x:c>
      <x:c r="K55" s="76" t="n">
        <x:v>0</x:v>
      </x:c>
      <x:c r="L55" s="76" t="n">
        <x:v>1</x:v>
      </x:c>
      <x:c r="M55" s="35" t="str"/>
    </x:row>
    <x:row r="56">
      <x:c r="A56" s="16" t="str">
        <x:v>WBF-045</x:v>
      </x:c>
      <x:c r="B56" s="16" t="str">
        <x:v>2016-08-03—2016-08-13</x:v>
      </x:c>
      <x:c r="C56" s="16" t="str">
        <x:v>世界青年团体锦标赛</x:v>
      </x:c>
      <x:c r="D56" s="16" t="str">
        <x:v>U16 Teams</x:v>
      </x:c>
      <x:c r="E56" s="16" t="n">
        <x:v>2</x:v>
      </x:c>
      <x:c r="F56" s="16" t="str">
        <x:v>CHINA2</x:v>
      </x:c>
      <x:c r="G56" s="17" t="n">
        <x:v>6</x:v>
      </x:c>
      <x:c r="H56" s="17" t="n">
        <x:v>6</x:v>
      </x:c>
      <x:c r="I56" s="75" t="n">
        <x:v>1</x:v>
      </x:c>
      <x:c r="J56" s="75" t="n">
        <x:v>0</x:v>
      </x:c>
      <x:c r="K56" s="75" t="n">
        <x:v>1</x:v>
      </x:c>
      <x:c r="L56" s="75" t="n">
        <x:v>0</x:v>
      </x:c>
      <x:c r="M56" s="16" t="str"/>
    </x:row>
    <x:row r="57">
      <x:c r="A57" s="35" t="str">
        <x:v>WBF-046</x:v>
      </x:c>
      <x:c r="B57" s="35" t="str">
        <x:v>2016-08-03—2016-08-13</x:v>
      </x:c>
      <x:c r="C57" s="35" t="str">
        <x:v>世界青年团体锦标赛</x:v>
      </x:c>
      <x:c r="D57" s="35" t="str">
        <x:v>U26 Teams</x:v>
      </x:c>
      <x:c r="E57" s="35" t="n">
        <x:v>2</x:v>
      </x:c>
      <x:c r="F57" s="35" t="str">
        <x:v>CHINA</x:v>
      </x:c>
      <x:c r="G57" s="36" t="n">
        <x:v>6</x:v>
      </x:c>
      <x:c r="H57" s="36" t="n">
        <x:v>6</x:v>
      </x:c>
      <x:c r="I57" s="76" t="n">
        <x:v>1</x:v>
      </x:c>
      <x:c r="J57" s="76" t="n">
        <x:v>0</x:v>
      </x:c>
      <x:c r="K57" s="76" t="n">
        <x:v>1</x:v>
      </x:c>
      <x:c r="L57" s="76" t="n">
        <x:v>0</x:v>
      </x:c>
      <x:c r="M57" s="35" t="str"/>
    </x:row>
    <x:row r="58">
      <x:c r="A58" s="16" t="str">
        <x:v>WBF-047</x:v>
      </x:c>
      <x:c r="B58" s="16" t="str">
        <x:v>2017</x:v>
      </x:c>
      <x:c r="C58" s="16" t="str">
        <x:v>世界桥牌团体锦标赛</x:v>
      </x:c>
      <x:c r="D58" s="16" t="str">
        <x:v>Transnational Open Teams 跨国公开团体</x:v>
      </x:c>
      <x:c r="E58" s="16" t="n">
        <x:v>2</x:v>
      </x:c>
      <x:c r="F58" s="16" t="str">
        <x:v>TRANSNATIONAL TEAM</x:v>
      </x:c>
      <x:c r="G58" s="17" t="n">
        <x:v>4</x:v>
      </x:c>
      <x:c r="H58" s="17" t="n">
        <x:v>6</x:v>
      </x:c>
      <x:c r="I58" s="75" t="n">
        <x:v>0.6666666666666666</x:v>
      </x:c>
      <x:c r="J58" s="75" t="n">
        <x:v>0</x:v>
      </x:c>
      <x:c r="K58" s="75" t="n">
        <x:v>0.6666666666666666</x:v>
      </x:c>
      <x:c r="L58" s="75" t="n">
        <x:v>0</x:v>
      </x:c>
      <x:c r="M58" s="16" t="str">
        <x:v>Michal Nowosadzki [POL]；Jacek Kalita [POL]</x:v>
      </x:c>
    </x:row>
    <x:row r="59">
      <x:c r="A59" s="35" t="str">
        <x:v>WBF-048</x:v>
      </x:c>
      <x:c r="B59" s="35" t="str">
        <x:v>2017</x:v>
      </x:c>
      <x:c r="C59" s="35" t="str">
        <x:v>世界桥牌团体锦标赛</x:v>
      </x:c>
      <x:c r="D59" s="35" t="str">
        <x:v>Venice Cup 女子团体</x:v>
      </x:c>
      <x:c r="E59" s="35" t="n">
        <x:v>1</x:v>
      </x:c>
      <x:c r="F59" s="35" t="str">
        <x:v>CHINA</x:v>
      </x:c>
      <x:c r="G59" s="36" t="n">
        <x:v>6</x:v>
      </x:c>
      <x:c r="H59" s="36" t="n">
        <x:v>6</x:v>
      </x:c>
      <x:c r="I59" s="76" t="n">
        <x:v>1</x:v>
      </x:c>
      <x:c r="J59" s="76" t="n">
        <x:v>1</x:v>
      </x:c>
      <x:c r="K59" s="76" t="n">
        <x:v>0</x:v>
      </x:c>
      <x:c r="L59" s="76" t="n">
        <x:v>0</x:v>
      </x:c>
      <x:c r="M59" s="35" t="str"/>
    </x:row>
    <x:row r="60">
      <x:c r="A60" s="16" t="str">
        <x:v>WBF-049</x:v>
      </x:c>
      <x:c r="B60" s="16" t="str">
        <x:v>2017-08-15—2017-08-24</x:v>
      </x:c>
      <x:c r="C60" s="16" t="str">
        <x:v>第5届世界青年公开锦标赛</x:v>
      </x:c>
      <x:c r="D60" s="16" t="str">
        <x:v>U16 BAM</x:v>
      </x:c>
      <x:c r="E60" s="16" t="n">
        <x:v>1</x:v>
      </x:c>
      <x:c r="F60" s="16" t="str">
        <x:v>SHENGXING VENUS</x:v>
      </x:c>
      <x:c r="G60" s="17" t="n">
        <x:v>6</x:v>
      </x:c>
      <x:c r="H60" s="17" t="n">
        <x:v>6</x:v>
      </x:c>
      <x:c r="I60" s="75" t="n">
        <x:v>1</x:v>
      </x:c>
      <x:c r="J60" s="75" t="n">
        <x:v>1</x:v>
      </x:c>
      <x:c r="K60" s="75" t="n">
        <x:v>0</x:v>
      </x:c>
      <x:c r="L60" s="75" t="n">
        <x:v>0</x:v>
      </x:c>
      <x:c r="M60" s="16" t="str"/>
    </x:row>
    <x:row r="61">
      <x:c r="A61" s="35" t="str">
        <x:v>WBF-050</x:v>
      </x:c>
      <x:c r="B61" s="35" t="str">
        <x:v>2017-08-15—2017-08-24</x:v>
      </x:c>
      <x:c r="C61" s="35" t="str">
        <x:v>第5届世界青年公开锦标赛</x:v>
      </x:c>
      <x:c r="D61" s="35" t="str">
        <x:v>U16 BAM</x:v>
      </x:c>
      <x:c r="E61" s="35" t="n">
        <x:v>3</x:v>
      </x:c>
      <x:c r="F61" s="35" t="str">
        <x:v>SHENGXING SATURN</x:v>
      </x:c>
      <x:c r="G61" s="36" t="n">
        <x:v>6</x:v>
      </x:c>
      <x:c r="H61" s="36" t="n">
        <x:v>6</x:v>
      </x:c>
      <x:c r="I61" s="76" t="n">
        <x:v>1</x:v>
      </x:c>
      <x:c r="J61" s="76" t="n">
        <x:v>0</x:v>
      </x:c>
      <x:c r="K61" s="76" t="n">
        <x:v>0</x:v>
      </x:c>
      <x:c r="L61" s="76" t="n">
        <x:v>1</x:v>
      </x:c>
      <x:c r="M61" s="35" t="str"/>
    </x:row>
    <x:row r="62">
      <x:c r="A62" s="16" t="str">
        <x:v>WBF-051</x:v>
      </x:c>
      <x:c r="B62" s="16" t="str">
        <x:v>2017-08-15—2017-08-24</x:v>
      </x:c>
      <x:c r="C62" s="16" t="str">
        <x:v>第5届世界青年公开锦标赛</x:v>
      </x:c>
      <x:c r="D62" s="16" t="str">
        <x:v>U16 Pairs / Kids Pairs</x:v>
      </x:c>
      <x:c r="E62" s="16" t="n">
        <x:v>1</x:v>
      </x:c>
      <x:c r="F62" s="16" t="str">
        <x:v>Yizhou Liu – Mingyu Lu</x:v>
      </x:c>
      <x:c r="G62" s="17" t="n">
        <x:v>2</x:v>
      </x:c>
      <x:c r="H62" s="17" t="n">
        <x:v>2</x:v>
      </x:c>
      <x:c r="I62" s="75" t="n">
        <x:v>1</x:v>
      </x:c>
      <x:c r="J62" s="75" t="n">
        <x:v>1</x:v>
      </x:c>
      <x:c r="K62" s="75" t="n">
        <x:v>0</x:v>
      </x:c>
      <x:c r="L62" s="75" t="n">
        <x:v>0</x:v>
      </x:c>
      <x:c r="M62" s="16" t="str"/>
    </x:row>
    <x:row r="63">
      <x:c r="A63" s="35" t="str">
        <x:v>WBF-052</x:v>
      </x:c>
      <x:c r="B63" s="35" t="str">
        <x:v>2017-08-15—2017-08-24</x:v>
      </x:c>
      <x:c r="C63" s="35" t="str">
        <x:v>第5届世界青年公开锦标赛</x:v>
      </x:c>
      <x:c r="D63" s="35" t="str">
        <x:v>U16 Pairs / Kids Pairs</x:v>
      </x:c>
      <x:c r="E63" s="35" t="n">
        <x:v>2</x:v>
      </x:c>
      <x:c r="F63" s="35" t="str">
        <x:v>Ruicheng Mao – Zhaochen Yu</x:v>
      </x:c>
      <x:c r="G63" s="36" t="n">
        <x:v>2</x:v>
      </x:c>
      <x:c r="H63" s="36" t="n">
        <x:v>2</x:v>
      </x:c>
      <x:c r="I63" s="76" t="n">
        <x:v>1</x:v>
      </x:c>
      <x:c r="J63" s="76" t="n">
        <x:v>0</x:v>
      </x:c>
      <x:c r="K63" s="76" t="n">
        <x:v>1</x:v>
      </x:c>
      <x:c r="L63" s="76" t="n">
        <x:v>0</x:v>
      </x:c>
      <x:c r="M63" s="35" t="str"/>
    </x:row>
    <x:row r="64">
      <x:c r="A64" s="16" t="str">
        <x:v>WBF-053</x:v>
      </x:c>
      <x:c r="B64" s="16" t="str">
        <x:v>2017-08-15—2017-08-24</x:v>
      </x:c>
      <x:c r="C64" s="16" t="str">
        <x:v>第5届世界青年公开锦标赛</x:v>
      </x:c>
      <x:c r="D64" s="16" t="str">
        <x:v>U16 Pairs / Kids Pairs</x:v>
      </x:c>
      <x:c r="E64" s="16" t="n">
        <x:v>3</x:v>
      </x:c>
      <x:c r="F64" s="16" t="str">
        <x:v>Licong Cheng – Penghao Wang</x:v>
      </x:c>
      <x:c r="G64" s="17" t="n">
        <x:v>2</x:v>
      </x:c>
      <x:c r="H64" s="17" t="n">
        <x:v>2</x:v>
      </x:c>
      <x:c r="I64" s="75" t="n">
        <x:v>1</x:v>
      </x:c>
      <x:c r="J64" s="75" t="n">
        <x:v>0</x:v>
      </x:c>
      <x:c r="K64" s="75" t="n">
        <x:v>0</x:v>
      </x:c>
      <x:c r="L64" s="75" t="n">
        <x:v>1</x:v>
      </x:c>
      <x:c r="M64" s="16" t="str"/>
    </x:row>
    <x:row r="65">
      <x:c r="A65" s="35" t="str">
        <x:v>WBF-054</x:v>
      </x:c>
      <x:c r="B65" s="35" t="str">
        <x:v>2017-08-15—2017-08-24</x:v>
      </x:c>
      <x:c r="C65" s="35" t="str">
        <x:v>第5届世界青年公开锦标赛</x:v>
      </x:c>
      <x:c r="D65" s="35" t="str">
        <x:v>U16 Teams / Kids Teams</x:v>
      </x:c>
      <x:c r="E65" s="35" t="n">
        <x:v>1</x:v>
      </x:c>
      <x:c r="F65" s="35" t="str">
        <x:v>CHINA RDFZ GALAXY</x:v>
      </x:c>
      <x:c r="G65" s="36" t="n">
        <x:v>6</x:v>
      </x:c>
      <x:c r="H65" s="36" t="n">
        <x:v>6</x:v>
      </x:c>
      <x:c r="I65" s="76" t="n">
        <x:v>1</x:v>
      </x:c>
      <x:c r="J65" s="76" t="n">
        <x:v>1</x:v>
      </x:c>
      <x:c r="K65" s="76" t="n">
        <x:v>0</x:v>
      </x:c>
      <x:c r="L65" s="76" t="n">
        <x:v>0</x:v>
      </x:c>
      <x:c r="M65" s="35" t="str"/>
    </x:row>
    <x:row r="66">
      <x:c r="A66" s="16" t="str">
        <x:v>WBF-055</x:v>
      </x:c>
      <x:c r="B66" s="16" t="str">
        <x:v>2017-08-15—2017-08-24</x:v>
      </x:c>
      <x:c r="C66" s="16" t="str">
        <x:v>第5届世界青年公开锦标赛</x:v>
      </x:c>
      <x:c r="D66" s="16" t="str">
        <x:v>U16 Teams / Kids Teams</x:v>
      </x:c>
      <x:c r="E66" s="16" t="n">
        <x:v>2</x:v>
      </x:c>
      <x:c r="F66" s="16" t="str">
        <x:v>SHENGXING VENUS</x:v>
      </x:c>
      <x:c r="G66" s="17" t="n">
        <x:v>6</x:v>
      </x:c>
      <x:c r="H66" s="17" t="n">
        <x:v>6</x:v>
      </x:c>
      <x:c r="I66" s="75" t="n">
        <x:v>1</x:v>
      </x:c>
      <x:c r="J66" s="75" t="n">
        <x:v>0</x:v>
      </x:c>
      <x:c r="K66" s="75" t="n">
        <x:v>1</x:v>
      </x:c>
      <x:c r="L66" s="75" t="n">
        <x:v>0</x:v>
      </x:c>
      <x:c r="M66" s="16" t="str"/>
    </x:row>
    <x:row r="67">
      <x:c r="A67" s="35" t="str">
        <x:v>WBF-056</x:v>
      </x:c>
      <x:c r="B67" s="35" t="str">
        <x:v>2017-08-15—2017-08-24</x:v>
      </x:c>
      <x:c r="C67" s="35" t="str">
        <x:v>第5届世界青年公开锦标赛</x:v>
      </x:c>
      <x:c r="D67" s="35" t="str">
        <x:v>U16 Teams / Kids Teams</x:v>
      </x:c>
      <x:c r="E67" s="35" t="n">
        <x:v>3</x:v>
      </x:c>
      <x:c r="F67" s="35" t="str">
        <x:v>SHENGXING SATURN</x:v>
      </x:c>
      <x:c r="G67" s="36" t="n">
        <x:v>6</x:v>
      </x:c>
      <x:c r="H67" s="36" t="n">
        <x:v>6</x:v>
      </x:c>
      <x:c r="I67" s="76" t="n">
        <x:v>1</x:v>
      </x:c>
      <x:c r="J67" s="76" t="n">
        <x:v>0</x:v>
      </x:c>
      <x:c r="K67" s="76" t="n">
        <x:v>0</x:v>
      </x:c>
      <x:c r="L67" s="76" t="n">
        <x:v>1</x:v>
      </x:c>
      <x:c r="M67" s="35" t="str"/>
    </x:row>
    <x:row r="68">
      <x:c r="A68" s="16" t="str">
        <x:v>WBF-057</x:v>
      </x:c>
      <x:c r="B68" s="16" t="str">
        <x:v>2017-08-15—2017-08-24</x:v>
      </x:c>
      <x:c r="C68" s="16" t="str">
        <x:v>第5届世界青年公开锦标赛</x:v>
      </x:c>
      <x:c r="D68" s="16" t="str">
        <x:v>U21 Pairs / Youngsters Pairs</x:v>
      </x:c>
      <x:c r="E68" s="16" t="n">
        <x:v>1</x:v>
      </x:c>
      <x:c r="F68" s="16" t="str">
        <x:v>Cheng Deng – Zhijie Yuan</x:v>
      </x:c>
      <x:c r="G68" s="17" t="n">
        <x:v>2</x:v>
      </x:c>
      <x:c r="H68" s="17" t="n">
        <x:v>2</x:v>
      </x:c>
      <x:c r="I68" s="75" t="n">
        <x:v>1</x:v>
      </x:c>
      <x:c r="J68" s="75" t="n">
        <x:v>1</x:v>
      </x:c>
      <x:c r="K68" s="75" t="n">
        <x:v>0</x:v>
      </x:c>
      <x:c r="L68" s="75" t="n">
        <x:v>0</x:v>
      </x:c>
      <x:c r="M68" s="16" t="str"/>
    </x:row>
    <x:row r="69">
      <x:c r="A69" s="35" t="str">
        <x:v>WBF-058</x:v>
      </x:c>
      <x:c r="B69" s="35" t="str">
        <x:v>2017-08-15—2017-08-24</x:v>
      </x:c>
      <x:c r="C69" s="35" t="str">
        <x:v>第5届世界青年公开锦标赛</x:v>
      </x:c>
      <x:c r="D69" s="35" t="str">
        <x:v>U21 Teams / Youngsters Teams</x:v>
      </x:c>
      <x:c r="E69" s="35" t="n">
        <x:v>2</x:v>
      </x:c>
      <x:c r="F69" s="35" t="str">
        <x:v>SHENGXING TEAM</x:v>
      </x:c>
      <x:c r="G69" s="36" t="n">
        <x:v>6</x:v>
      </x:c>
      <x:c r="H69" s="36" t="n">
        <x:v>6</x:v>
      </x:c>
      <x:c r="I69" s="76" t="n">
        <x:v>1</x:v>
      </x:c>
      <x:c r="J69" s="76" t="n">
        <x:v>0</x:v>
      </x:c>
      <x:c r="K69" s="76" t="n">
        <x:v>1</x:v>
      </x:c>
      <x:c r="L69" s="76" t="n">
        <x:v>0</x:v>
      </x:c>
      <x:c r="M69" s="35" t="str"/>
    </x:row>
    <x:row r="70">
      <x:c r="A70" s="16" t="str">
        <x:v>WBF-059</x:v>
      </x:c>
      <x:c r="B70" s="16" t="str">
        <x:v>2017-08-15—2017-08-24</x:v>
      </x:c>
      <x:c r="C70" s="16" t="str">
        <x:v>第5届世界青年公开锦标赛</x:v>
      </x:c>
      <x:c r="D70" s="16" t="str">
        <x:v>U21 Teams / Youngsters Teams</x:v>
      </x:c>
      <x:c r="E70" s="16" t="n">
        <x:v>3</x:v>
      </x:c>
      <x:c r="F70" s="16" t="str">
        <x:v>CHINA</x:v>
      </x:c>
      <x:c r="G70" s="17" t="n">
        <x:v>6</x:v>
      </x:c>
      <x:c r="H70" s="17" t="n">
        <x:v>6</x:v>
      </x:c>
      <x:c r="I70" s="75" t="n">
        <x:v>1</x:v>
      </x:c>
      <x:c r="J70" s="75" t="n">
        <x:v>0</x:v>
      </x:c>
      <x:c r="K70" s="75" t="n">
        <x:v>0</x:v>
      </x:c>
      <x:c r="L70" s="75" t="n">
        <x:v>1</x:v>
      </x:c>
      <x:c r="M70" s="16" t="str"/>
    </x:row>
    <x:row r="71">
      <x:c r="A71" s="35" t="str">
        <x:v>WBF-060</x:v>
      </x:c>
      <x:c r="B71" s="35" t="str">
        <x:v>2017-08-15—2017-08-24</x:v>
      </x:c>
      <x:c r="C71" s="35" t="str">
        <x:v>第5届世界青年公开锦标赛</x:v>
      </x:c>
      <x:c r="D71" s="35" t="str">
        <x:v>U26 Women Pairs / Girls Pairs</x:v>
      </x:c>
      <x:c r="E71" s="35" t="n">
        <x:v>2</x:v>
      </x:c>
      <x:c r="F71" s="35" t="str">
        <x:v>Yunpeng Chen – Jiaming Xu</x:v>
      </x:c>
      <x:c r="G71" s="36" t="n">
        <x:v>2</x:v>
      </x:c>
      <x:c r="H71" s="36" t="n">
        <x:v>2</x:v>
      </x:c>
      <x:c r="I71" s="76" t="n">
        <x:v>1</x:v>
      </x:c>
      <x:c r="J71" s="76" t="n">
        <x:v>0</x:v>
      </x:c>
      <x:c r="K71" s="76" t="n">
        <x:v>1</x:v>
      </x:c>
      <x:c r="L71" s="76" t="n">
        <x:v>0</x:v>
      </x:c>
      <x:c r="M71" s="35" t="str"/>
    </x:row>
    <x:row r="72">
      <x:c r="A72" s="16" t="str">
        <x:v>WBF-061</x:v>
      </x:c>
      <x:c r="B72" s="16" t="str">
        <x:v>2017-08-15—2017-08-24</x:v>
      </x:c>
      <x:c r="C72" s="16" t="str">
        <x:v>第5届世界青年公开锦标赛</x:v>
      </x:c>
      <x:c r="D72" s="16" t="str">
        <x:v>U26 Women Pairs / Girls Pairs</x:v>
      </x:c>
      <x:c r="E72" s="16" t="n">
        <x:v>3</x:v>
      </x:c>
      <x:c r="F72" s="16" t="str">
        <x:v>Xinyao Ruan – Yajie Lu</x:v>
      </x:c>
      <x:c r="G72" s="17" t="n">
        <x:v>2</x:v>
      </x:c>
      <x:c r="H72" s="17" t="n">
        <x:v>2</x:v>
      </x:c>
      <x:c r="I72" s="75" t="n">
        <x:v>1</x:v>
      </x:c>
      <x:c r="J72" s="75" t="n">
        <x:v>0</x:v>
      </x:c>
      <x:c r="K72" s="75" t="n">
        <x:v>0</x:v>
      </x:c>
      <x:c r="L72" s="75" t="n">
        <x:v>1</x:v>
      </x:c>
      <x:c r="M72" s="16" t="str"/>
    </x:row>
    <x:row r="73">
      <x:c r="A73" s="35" t="str">
        <x:v>WBF-062</x:v>
      </x:c>
      <x:c r="B73" s="35" t="str">
        <x:v>2017-08-15—2017-08-24</x:v>
      </x:c>
      <x:c r="C73" s="35" t="str">
        <x:v>第5届世界青年公开锦标赛</x:v>
      </x:c>
      <x:c r="D73" s="35" t="str">
        <x:v>U26 Women Teams / Girls Teams</x:v>
      </x:c>
      <x:c r="E73" s="35" t="n">
        <x:v>1</x:v>
      </x:c>
      <x:c r="F73" s="35" t="str">
        <x:v>SHENGXING TEAM 1</x:v>
      </x:c>
      <x:c r="G73" s="36" t="n">
        <x:v>6</x:v>
      </x:c>
      <x:c r="H73" s="36" t="n">
        <x:v>6</x:v>
      </x:c>
      <x:c r="I73" s="76" t="n">
        <x:v>1</x:v>
      </x:c>
      <x:c r="J73" s="76" t="n">
        <x:v>1</x:v>
      </x:c>
      <x:c r="K73" s="76" t="n">
        <x:v>0</x:v>
      </x:c>
      <x:c r="L73" s="76" t="n">
        <x:v>0</x:v>
      </x:c>
      <x:c r="M73" s="35" t="str"/>
    </x:row>
    <x:row r="74">
      <x:c r="A74" s="16" t="str">
        <x:v>WBF-063</x:v>
      </x:c>
      <x:c r="B74" s="16" t="str">
        <x:v>2017-08-15—2017-08-24</x:v>
      </x:c>
      <x:c r="C74" s="16" t="str">
        <x:v>第5届世界青年公开锦标赛</x:v>
      </x:c>
      <x:c r="D74" s="16" t="str">
        <x:v>U26 Women Teams / Girls Teams</x:v>
      </x:c>
      <x:c r="E74" s="16" t="n">
        <x:v>3</x:v>
      </x:c>
      <x:c r="F74" s="16" t="str">
        <x:v>SH XIN JIANGNAN TEAM</x:v>
      </x:c>
      <x:c r="G74" s="17" t="n">
        <x:v>6</x:v>
      </x:c>
      <x:c r="H74" s="17" t="n">
        <x:v>6</x:v>
      </x:c>
      <x:c r="I74" s="75" t="n">
        <x:v>1</x:v>
      </x:c>
      <x:c r="J74" s="75" t="n">
        <x:v>0</x:v>
      </x:c>
      <x:c r="K74" s="75" t="n">
        <x:v>0</x:v>
      </x:c>
      <x:c r="L74" s="75" t="n">
        <x:v>1</x:v>
      </x:c>
      <x:c r="M74" s="16" t="str"/>
    </x:row>
    <x:row r="75">
      <x:c r="A75" s="35" t="str">
        <x:v>WBF-064</x:v>
      </x:c>
      <x:c r="B75" s="35" t="str">
        <x:v>2018</x:v>
      </x:c>
      <x:c r="C75" s="35" t="str">
        <x:v>世界桥牌综合锦标赛</x:v>
      </x:c>
      <x:c r="D75" s="35" t="str">
        <x:v>Women Pairs 女子双人</x:v>
      </x:c>
      <x:c r="E75" s="35" t="n">
        <x:v>3</x:v>
      </x:c>
      <x:c r="F75" s="35" t="str">
        <x:v>Yan Huang – Nan Wang</x:v>
      </x:c>
      <x:c r="G75" s="36" t="n">
        <x:v>2</x:v>
      </x:c>
      <x:c r="H75" s="36" t="n">
        <x:v>2</x:v>
      </x:c>
      <x:c r="I75" s="76" t="n">
        <x:v>1</x:v>
      </x:c>
      <x:c r="J75" s="76" t="n">
        <x:v>0</x:v>
      </x:c>
      <x:c r="K75" s="76" t="n">
        <x:v>0</x:v>
      </x:c>
      <x:c r="L75" s="76" t="n">
        <x:v>1</x:v>
      </x:c>
      <x:c r="M75" s="35" t="str"/>
    </x:row>
    <x:row r="76">
      <x:c r="A76" s="16" t="str">
        <x:v>WBF-065</x:v>
      </x:c>
      <x:c r="B76" s="16" t="str">
        <x:v>2018</x:v>
      </x:c>
      <x:c r="C76" s="16" t="str">
        <x:v>世界桥牌综合锦标赛</x:v>
      </x:c>
      <x:c r="D76" s="16" t="str">
        <x:v>World Senior Teams 老年团体</x:v>
      </x:c>
      <x:c r="E76" s="16" t="n">
        <x:v>2</x:v>
      </x:c>
      <x:c r="F76" s="16" t="str">
        <x:v>CHINA</x:v>
      </x:c>
      <x:c r="G76" s="17" t="n">
        <x:v>5</x:v>
      </x:c>
      <x:c r="H76" s="17" t="n">
        <x:v>5</x:v>
      </x:c>
      <x:c r="I76" s="75" t="n">
        <x:v>1</x:v>
      </x:c>
      <x:c r="J76" s="75" t="n">
        <x:v>0</x:v>
      </x:c>
      <x:c r="K76" s="75" t="n">
        <x:v>1</x:v>
      </x:c>
      <x:c r="L76" s="75" t="n">
        <x:v>0</x:v>
      </x:c>
      <x:c r="M76" s="16" t="str"/>
    </x:row>
    <x:row r="77">
      <x:c r="A77" s="35" t="str">
        <x:v>WBF-066</x:v>
      </x:c>
      <x:c r="B77" s="35" t="str">
        <x:v>2018-08-08—2018-08-18</x:v>
      </x:c>
      <x:c r="C77" s="35" t="str">
        <x:v>世界青年团体锦标赛</x:v>
      </x:c>
      <x:c r="D77" s="35" t="str">
        <x:v>U16 Teams</x:v>
      </x:c>
      <x:c r="E77" s="35" t="n">
        <x:v>1</x:v>
      </x:c>
      <x:c r="F77" s="35" t="str">
        <x:v>CHINA3</x:v>
      </x:c>
      <x:c r="G77" s="36" t="n">
        <x:v>6</x:v>
      </x:c>
      <x:c r="H77" s="36" t="n">
        <x:v>6</x:v>
      </x:c>
      <x:c r="I77" s="76" t="n">
        <x:v>1</x:v>
      </x:c>
      <x:c r="J77" s="76" t="n">
        <x:v>1</x:v>
      </x:c>
      <x:c r="K77" s="76" t="n">
        <x:v>0</x:v>
      </x:c>
      <x:c r="L77" s="76" t="n">
        <x:v>0</x:v>
      </x:c>
      <x:c r="M77" s="35" t="str"/>
    </x:row>
    <x:row r="78">
      <x:c r="A78" s="16" t="str">
        <x:v>WBF-067</x:v>
      </x:c>
      <x:c r="B78" s="16" t="str">
        <x:v>2018-08-08—2018-08-18</x:v>
      </x:c>
      <x:c r="C78" s="16" t="str">
        <x:v>世界青年团体锦标赛</x:v>
      </x:c>
      <x:c r="D78" s="16" t="str">
        <x:v>U26 Women Teams</x:v>
      </x:c>
      <x:c r="E78" s="16" t="n">
        <x:v>1</x:v>
      </x:c>
      <x:c r="F78" s="16" t="str">
        <x:v>CHINA</x:v>
      </x:c>
      <x:c r="G78" s="17" t="n">
        <x:v>6</x:v>
      </x:c>
      <x:c r="H78" s="17" t="n">
        <x:v>6</x:v>
      </x:c>
      <x:c r="I78" s="75" t="n">
        <x:v>1</x:v>
      </x:c>
      <x:c r="J78" s="75" t="n">
        <x:v>1</x:v>
      </x:c>
      <x:c r="K78" s="75" t="n">
        <x:v>0</x:v>
      </x:c>
      <x:c r="L78" s="75" t="n">
        <x:v>0</x:v>
      </x:c>
      <x:c r="M78" s="16" t="str"/>
    </x:row>
    <x:row r="79">
      <x:c r="A79" s="35" t="str">
        <x:v>WBF-068</x:v>
      </x:c>
      <x:c r="B79" s="35" t="str">
        <x:v>2018-08-08—2018-08-18</x:v>
      </x:c>
      <x:c r="C79" s="35" t="str">
        <x:v>世界青年团体锦标赛</x:v>
      </x:c>
      <x:c r="D79" s="35" t="str">
        <x:v>Youth BAM</x:v>
      </x:c>
      <x:c r="E79" s="35" t="n">
        <x:v>2</x:v>
      </x:c>
      <x:c r="F79" s="35" t="str">
        <x:v>CHINA YOUNGSTERS</x:v>
      </x:c>
      <x:c r="G79" s="36" t="n">
        <x:v>6</x:v>
      </x:c>
      <x:c r="H79" s="36" t="n">
        <x:v>6</x:v>
      </x:c>
      <x:c r="I79" s="76" t="n">
        <x:v>1</x:v>
      </x:c>
      <x:c r="J79" s="76" t="n">
        <x:v>0</x:v>
      </x:c>
      <x:c r="K79" s="76" t="n">
        <x:v>1</x:v>
      </x:c>
      <x:c r="L79" s="76" t="n">
        <x:v>0</x:v>
      </x:c>
      <x:c r="M79" s="35" t="str"/>
    </x:row>
    <x:row r="80">
      <x:c r="A80" s="16" t="str">
        <x:v>WBF-069</x:v>
      </x:c>
      <x:c r="B80" s="16" t="str">
        <x:v>2019-08-20—2019-08-29</x:v>
      </x:c>
      <x:c r="C80" s="16" t="str">
        <x:v>第6届世界青年公开锦标赛</x:v>
      </x:c>
      <x:c r="D80" s="16" t="str">
        <x:v>U16 Teams</x:v>
      </x:c>
      <x:c r="E80" s="16" t="n">
        <x:v>1</x:v>
      </x:c>
      <x:c r="F80" s="16" t="str">
        <x:v>SXMARS</x:v>
      </x:c>
      <x:c r="G80" s="17" t="n">
        <x:v>6</x:v>
      </x:c>
      <x:c r="H80" s="17" t="n">
        <x:v>6</x:v>
      </x:c>
      <x:c r="I80" s="75" t="n">
        <x:v>1</x:v>
      </x:c>
      <x:c r="J80" s="75" t="n">
        <x:v>1</x:v>
      </x:c>
      <x:c r="K80" s="75" t="n">
        <x:v>0</x:v>
      </x:c>
      <x:c r="L80" s="75" t="n">
        <x:v>0</x:v>
      </x:c>
      <x:c r="M80" s="16" t="str"/>
    </x:row>
    <x:row r="81">
      <x:c r="A81" s="35" t="str">
        <x:v>WBF-070</x:v>
      </x:c>
      <x:c r="B81" s="35" t="str">
        <x:v>2019-08-20—2019-08-29</x:v>
      </x:c>
      <x:c r="C81" s="35" t="str">
        <x:v>第6届世界青年公开锦标赛</x:v>
      </x:c>
      <x:c r="D81" s="35" t="str">
        <x:v>U16 Teams</x:v>
      </x:c>
      <x:c r="E81" s="35" t="n">
        <x:v>3</x:v>
      </x:c>
      <x:c r="F81" s="35" t="str">
        <x:v>SXSATURN</x:v>
      </x:c>
      <x:c r="G81" s="36" t="n">
        <x:v>6</x:v>
      </x:c>
      <x:c r="H81" s="36" t="n">
        <x:v>6</x:v>
      </x:c>
      <x:c r="I81" s="76" t="n">
        <x:v>1</x:v>
      </x:c>
      <x:c r="J81" s="76" t="n">
        <x:v>0</x:v>
      </x:c>
      <x:c r="K81" s="76" t="n">
        <x:v>0</x:v>
      </x:c>
      <x:c r="L81" s="76" t="n">
        <x:v>1</x:v>
      </x:c>
      <x:c r="M81" s="35" t="str"/>
    </x:row>
    <x:row r="82">
      <x:c r="A82" s="16" t="str">
        <x:v>WBF-071</x:v>
      </x:c>
      <x:c r="B82" s="16" t="str">
        <x:v>2019-08-20—2019-08-29</x:v>
      </x:c>
      <x:c r="C82" s="16" t="str">
        <x:v>第6届世界青年公开锦标赛</x:v>
      </x:c>
      <x:c r="D82" s="16" t="str">
        <x:v>U26 Pairs</x:v>
      </x:c>
      <x:c r="E82" s="16" t="n">
        <x:v>3</x:v>
      </x:c>
      <x:c r="F82" s="16" t="str">
        <x:v>Hongji Wei – Shiyu Sun</x:v>
      </x:c>
      <x:c r="G82" s="17" t="n">
        <x:v>2</x:v>
      </x:c>
      <x:c r="H82" s="17" t="n">
        <x:v>2</x:v>
      </x:c>
      <x:c r="I82" s="75" t="n">
        <x:v>1</x:v>
      </x:c>
      <x:c r="J82" s="75" t="n">
        <x:v>0</x:v>
      </x:c>
      <x:c r="K82" s="75" t="n">
        <x:v>0</x:v>
      </x:c>
      <x:c r="L82" s="75" t="n">
        <x:v>1</x:v>
      </x:c>
      <x:c r="M82" s="16" t="str"/>
    </x:row>
    <x:row r="83">
      <x:c r="A83" s="35" t="str">
        <x:v>WBF-072</x:v>
      </x:c>
      <x:c r="B83" s="35" t="str">
        <x:v>2019-08-20—2019-08-29</x:v>
      </x:c>
      <x:c r="C83" s="35" t="str">
        <x:v>第6届世界青年公开锦标赛</x:v>
      </x:c>
      <x:c r="D83" s="35" t="str">
        <x:v>U26 Women Pairs</x:v>
      </x:c>
      <x:c r="E83" s="35" t="n">
        <x:v>3</x:v>
      </x:c>
      <x:c r="F83" s="35" t="str">
        <x:v>Yijia Lu – Chenyun Ge</x:v>
      </x:c>
      <x:c r="G83" s="36" t="n">
        <x:v>2</x:v>
      </x:c>
      <x:c r="H83" s="36" t="n">
        <x:v>2</x:v>
      </x:c>
      <x:c r="I83" s="76" t="n">
        <x:v>1</x:v>
      </x:c>
      <x:c r="J83" s="76" t="n">
        <x:v>0</x:v>
      </x:c>
      <x:c r="K83" s="76" t="n">
        <x:v>0</x:v>
      </x:c>
      <x:c r="L83" s="76" t="n">
        <x:v>1</x:v>
      </x:c>
      <x:c r="M83" s="35" t="str"/>
    </x:row>
    <x:row r="84">
      <x:c r="A84" s="16" t="str">
        <x:v>WBF-073</x:v>
      </x:c>
      <x:c r="B84" s="16" t="str">
        <x:v>2019-08-20—2019-08-29</x:v>
      </x:c>
      <x:c r="C84" s="16" t="str">
        <x:v>第6届世界青年公开锦标赛</x:v>
      </x:c>
      <x:c r="D84" s="16" t="str">
        <x:v>U26 Women Teams</x:v>
      </x:c>
      <x:c r="E84" s="16" t="n">
        <x:v>2</x:v>
      </x:c>
      <x:c r="F84" s="16" t="str">
        <x:v>SXPEONY</x:v>
      </x:c>
      <x:c r="G84" s="17" t="n">
        <x:v>6</x:v>
      </x:c>
      <x:c r="H84" s="17" t="n">
        <x:v>6</x:v>
      </x:c>
      <x:c r="I84" s="75" t="n">
        <x:v>1</x:v>
      </x:c>
      <x:c r="J84" s="75" t="n">
        <x:v>0</x:v>
      </x:c>
      <x:c r="K84" s="75" t="n">
        <x:v>1</x:v>
      </x:c>
      <x:c r="L84" s="75" t="n">
        <x:v>0</x:v>
      </x:c>
      <x:c r="M84" s="16" t="str"/>
    </x:row>
    <x:row r="85">
      <x:c r="A85" s="35" t="str">
        <x:v>WBF-074</x:v>
      </x:c>
      <x:c r="B85" s="35" t="str">
        <x:v>2019-08-20—2019-08-29</x:v>
      </x:c>
      <x:c r="C85" s="35" t="str">
        <x:v>第6届世界青年公开锦标赛</x:v>
      </x:c>
      <x:c r="D85" s="35" t="str">
        <x:v>Youth BAM</x:v>
      </x:c>
      <x:c r="E85" s="35" t="n">
        <x:v>3</x:v>
      </x:c>
      <x:c r="F85" s="35" t="str">
        <x:v>SXNEBULA</x:v>
      </x:c>
      <x:c r="G85" s="36" t="n">
        <x:v>6</x:v>
      </x:c>
      <x:c r="H85" s="36" t="n">
        <x:v>6</x:v>
      </x:c>
      <x:c r="I85" s="76" t="n">
        <x:v>1</x:v>
      </x:c>
      <x:c r="J85" s="76" t="n">
        <x:v>0</x:v>
      </x:c>
      <x:c r="K85" s="76" t="n">
        <x:v>0</x:v>
      </x:c>
      <x:c r="L85" s="76" t="n">
        <x:v>1</x:v>
      </x:c>
      <x:c r="M85" s="35" t="str"/>
    </x:row>
    <x:row r="86">
      <x:c r="A86" s="16" t="str">
        <x:v>WBF-075</x:v>
      </x:c>
      <x:c r="B86" s="16" t="str">
        <x:v>2019-09</x:v>
      </x:c>
      <x:c r="C86" s="16" t="str">
        <x:v>世界桥牌团体锦标赛</x:v>
      </x:c>
      <x:c r="D86" s="16" t="str">
        <x:v>Transnational Open Teams 跨国公开团体</x:v>
      </x:c>
      <x:c r="E86" s="16" t="n">
        <x:v>1</x:v>
      </x:c>
      <x:c r="F86" s="16" t="str">
        <x:v>CHINA</x:v>
      </x:c>
      <x:c r="G86" s="17" t="n">
        <x:v>6</x:v>
      </x:c>
      <x:c r="H86" s="17" t="n">
        <x:v>6</x:v>
      </x:c>
      <x:c r="I86" s="75" t="n">
        <x:v>1</x:v>
      </x:c>
      <x:c r="J86" s="75" t="n">
        <x:v>1</x:v>
      </x:c>
      <x:c r="K86" s="75" t="n">
        <x:v>0</x:v>
      </x:c>
      <x:c r="L86" s="75" t="n">
        <x:v>0</x:v>
      </x:c>
      <x:c r="M86" s="16" t="str"/>
    </x:row>
    <x:row r="87">
      <x:c r="A87" s="35" t="str">
        <x:v>WBF-076</x:v>
      </x:c>
      <x:c r="B87" s="35" t="str">
        <x:v>2019-09</x:v>
      </x:c>
      <x:c r="C87" s="35" t="str">
        <x:v>世界桥牌团体锦标赛</x:v>
      </x:c>
      <x:c r="D87" s="35" t="str">
        <x:v>Transnational Open Teams 跨国公开团体</x:v>
      </x:c>
      <x:c r="E87" s="35" t="n">
        <x:v>2</x:v>
      </x:c>
      <x:c r="F87" s="35" t="str">
        <x:v>CHINA</x:v>
      </x:c>
      <x:c r="G87" s="36" t="n">
        <x:v>6</x:v>
      </x:c>
      <x:c r="H87" s="36" t="n">
        <x:v>6</x:v>
      </x:c>
      <x:c r="I87" s="76" t="n">
        <x:v>1</x:v>
      </x:c>
      <x:c r="J87" s="76" t="n">
        <x:v>0</x:v>
      </x:c>
      <x:c r="K87" s="76" t="n">
        <x:v>1</x:v>
      </x:c>
      <x:c r="L87" s="76" t="n">
        <x:v>0</x:v>
      </x:c>
      <x:c r="M87" s="35" t="str"/>
    </x:row>
    <x:row r="88">
      <x:c r="A88" s="16" t="str">
        <x:v>WBF-077</x:v>
      </x:c>
      <x:c r="B88" s="16" t="str">
        <x:v>2019-09</x:v>
      </x:c>
      <x:c r="C88" s="16" t="str">
        <x:v>世界桥牌团体锦标赛</x:v>
      </x:c>
      <x:c r="D88" s="16" t="str">
        <x:v>Transnational Open Teams 跨国公开团体</x:v>
      </x:c>
      <x:c r="E88" s="16" t="n">
        <x:v>3</x:v>
      </x:c>
      <x:c r="F88" s="16" t="str">
        <x:v>CHINA</x:v>
      </x:c>
      <x:c r="G88" s="17" t="n">
        <x:v>6</x:v>
      </x:c>
      <x:c r="H88" s="17" t="n">
        <x:v>6</x:v>
      </x:c>
      <x:c r="I88" s="75" t="n">
        <x:v>1</x:v>
      </x:c>
      <x:c r="J88" s="75" t="n">
        <x:v>0</x:v>
      </x:c>
      <x:c r="K88" s="75" t="n">
        <x:v>0</x:v>
      </x:c>
      <x:c r="L88" s="75" t="n">
        <x:v>1</x:v>
      </x:c>
      <x:c r="M88" s="16" t="str"/>
    </x:row>
    <x:row r="89">
      <x:c r="A89" s="35" t="str">
        <x:v>WBF-078</x:v>
      </x:c>
      <x:c r="B89" s="35" t="str">
        <x:v>2019-09</x:v>
      </x:c>
      <x:c r="C89" s="35" t="str">
        <x:v>世界桥牌团体锦标赛</x:v>
      </x:c>
      <x:c r="D89" s="35" t="str">
        <x:v>Venice Cup 女子团体</x:v>
      </x:c>
      <x:c r="E89" s="35" t="n">
        <x:v>2</x:v>
      </x:c>
      <x:c r="F89" s="35" t="str">
        <x:v>CHINA</x:v>
      </x:c>
      <x:c r="G89" s="36" t="n">
        <x:v>6</x:v>
      </x:c>
      <x:c r="H89" s="36" t="n">
        <x:v>6</x:v>
      </x:c>
      <x:c r="I89" s="76" t="n">
        <x:v>1</x:v>
      </x:c>
      <x:c r="J89" s="76" t="n">
        <x:v>0</x:v>
      </x:c>
      <x:c r="K89" s="76" t="n">
        <x:v>1</x:v>
      </x:c>
      <x:c r="L89" s="76" t="n">
        <x:v>0</x:v>
      </x:c>
      <x:c r="M89" s="35" t="str"/>
    </x:row>
    <x:row r="90">
      <x:c r="A90" s="16" t="str">
        <x:v>WBF-101</x:v>
      </x:c>
      <x:c r="B90" s="16" t="str">
        <x:v>2023-07-31—2023-08-07</x:v>
      </x:c>
      <x:c r="C90" s="16" t="str">
        <x:v>第18届世界青年团体锦标赛</x:v>
      </x:c>
      <x:c r="D90" s="16" t="str">
        <x:v>U16 BAM</x:v>
      </x:c>
      <x:c r="E90" s="16" t="n">
        <x:v>1</x:v>
      </x:c>
      <x:c r="F90" s="16" t="str">
        <x:v>CHINA</x:v>
      </x:c>
      <x:c r="G90" s="17" t="n">
        <x:v>6</x:v>
      </x:c>
      <x:c r="H90" s="17" t="n">
        <x:v>6</x:v>
      </x:c>
      <x:c r="I90" s="75" t="n">
        <x:v>1</x:v>
      </x:c>
      <x:c r="J90" s="75" t="n">
        <x:v>1</x:v>
      </x:c>
      <x:c r="K90" s="75" t="n">
        <x:v>0</x:v>
      </x:c>
      <x:c r="L90" s="75" t="n">
        <x:v>0</x:v>
      </x:c>
      <x:c r="M90" s="16" t="str"/>
    </x:row>
    <x:row r="91">
      <x:c r="A91" s="35" t="str">
        <x:v>WBF-079</x:v>
      </x:c>
      <x:c r="B91" s="35" t="str">
        <x:v>2023-08</x:v>
      </x:c>
      <x:c r="C91" s="35" t="str">
        <x:v>世界桥牌团体锦标赛</x:v>
      </x:c>
      <x:c r="D91" s="35" t="str">
        <x:v>Venice Cup 女子团体</x:v>
      </x:c>
      <x:c r="E91" s="35" t="n">
        <x:v>3</x:v>
      </x:c>
      <x:c r="F91" s="35" t="str">
        <x:v>CHINA</x:v>
      </x:c>
      <x:c r="G91" s="36" t="n">
        <x:v>6</x:v>
      </x:c>
      <x:c r="H91" s="36" t="n">
        <x:v>6</x:v>
      </x:c>
      <x:c r="I91" s="76" t="n">
        <x:v>1</x:v>
      </x:c>
      <x:c r="J91" s="76" t="n">
        <x:v>0</x:v>
      </x:c>
      <x:c r="K91" s="76" t="n">
        <x:v>0</x:v>
      </x:c>
      <x:c r="L91" s="76" t="n">
        <x:v>1</x:v>
      </x:c>
      <x:c r="M91" s="35" t="str"/>
    </x:row>
    <x:row r="92">
      <x:c r="A92" s="16" t="str">
        <x:v>WBF-080</x:v>
      </x:c>
      <x:c r="B92" s="16" t="str">
        <x:v>2024-07-13—2024-07-18</x:v>
      </x:c>
      <x:c r="C92" s="16" t="str">
        <x:v>第8届世界青年跨国锦标赛</x:v>
      </x:c>
      <x:c r="D92" s="16" t="str">
        <x:v>U21 Teams</x:v>
      </x:c>
      <x:c r="E92" s="16" t="n">
        <x:v>3</x:v>
      </x:c>
      <x:c r="F92" s="16" t="str">
        <x:v>RDFZ B (CHN/USA)</x:v>
      </x:c>
      <x:c r="G92" s="17" t="n">
        <x:v>3</x:v>
      </x:c>
      <x:c r="H92" s="17" t="n">
        <x:v>6</x:v>
      </x:c>
      <x:c r="I92" s="75" t="n">
        <x:v>0.5</x:v>
      </x:c>
      <x:c r="J92" s="75" t="n">
        <x:v>0</x:v>
      </x:c>
      <x:c r="K92" s="75" t="n">
        <x:v>0</x:v>
      </x:c>
      <x:c r="L92" s="75" t="n">
        <x:v>0.5</x:v>
      </x:c>
      <x:c r="M92" s="16" t="str">
        <x:v>Bruce Wu [USA]；Brian Zhang [USA]；Feng Zhu [USA]</x:v>
      </x:c>
    </x:row>
    <x:row r="93">
      <x:c r="A93" s="35" t="str">
        <x:v>WBF-081</x:v>
      </x:c>
      <x:c r="B93" s="35" t="str">
        <x:v>2024-10-22—2024-11-03</x:v>
      </x:c>
      <x:c r="C93" s="35" t="str">
        <x:v>第16届世界桥牌运动会</x:v>
      </x:c>
      <x:c r="D93" s="35" t="str">
        <x:v>Mixed Teams 混合团体</x:v>
      </x:c>
      <x:c r="E93" s="35" t="n">
        <x:v>2</x:v>
      </x:c>
      <x:c r="F93" s="35" t="str">
        <x:v>CHINA</x:v>
      </x:c>
      <x:c r="G93" s="36" t="n">
        <x:v>6</x:v>
      </x:c>
      <x:c r="H93" s="36" t="n">
        <x:v>6</x:v>
      </x:c>
      <x:c r="I93" s="76" t="n">
        <x:v>1</x:v>
      </x:c>
      <x:c r="J93" s="76" t="n">
        <x:v>0</x:v>
      </x:c>
      <x:c r="K93" s="76" t="n">
        <x:v>1</x:v>
      </x:c>
      <x:c r="L93" s="76" t="n">
        <x:v>0</x:v>
      </x:c>
      <x:c r="M93" s="35" t="str"/>
    </x:row>
    <x:row r="94">
      <x:c r="A94" s="16" t="str">
        <x:v>WBF-082</x:v>
      </x:c>
      <x:c r="B94" s="16" t="str">
        <x:v>2025-07-12—2025-07-17</x:v>
      </x:c>
      <x:c r="C94" s="16" t="str">
        <x:v>第19届世界青年团体锦标赛</x:v>
      </x:c>
      <x:c r="D94" s="16" t="str">
        <x:v>U16 BAM</x:v>
      </x:c>
      <x:c r="E94" s="16" t="n">
        <x:v>1</x:v>
      </x:c>
      <x:c r="F94" s="16" t="str">
        <x:v>CHINA</x:v>
      </x:c>
      <x:c r="G94" s="17" t="n">
        <x:v>6</x:v>
      </x:c>
      <x:c r="H94" s="17" t="n">
        <x:v>6</x:v>
      </x:c>
      <x:c r="I94" s="75" t="n">
        <x:v>1</x:v>
      </x:c>
      <x:c r="J94" s="75" t="n">
        <x:v>1</x:v>
      </x:c>
      <x:c r="K94" s="75" t="n">
        <x:v>0</x:v>
      </x:c>
      <x:c r="L94" s="75" t="n">
        <x:v>0</x:v>
      </x:c>
      <x:c r="M94" s="16" t="str"/>
    </x:row>
    <x:row r="95">
      <x:c r="A95" s="35" t="str">
        <x:v>WBF-083</x:v>
      </x:c>
      <x:c r="B95" s="35" t="str">
        <x:v>2025-07-12—2025-07-17</x:v>
      </x:c>
      <x:c r="C95" s="35" t="str">
        <x:v>第19届世界青年团体锦标赛</x:v>
      </x:c>
      <x:c r="D95" s="35" t="str">
        <x:v>U26 Women Teams</x:v>
      </x:c>
      <x:c r="E95" s="35" t="n">
        <x:v>3</x:v>
      </x:c>
      <x:c r="F95" s="35" t="str">
        <x:v>CHINA</x:v>
      </x:c>
      <x:c r="G95" s="36" t="n">
        <x:v>6</x:v>
      </x:c>
      <x:c r="H95" s="36" t="n">
        <x:v>6</x:v>
      </x:c>
      <x:c r="I95" s="76" t="n">
        <x:v>1</x:v>
      </x:c>
      <x:c r="J95" s="76" t="n">
        <x:v>0</x:v>
      </x:c>
      <x:c r="K95" s="76" t="n">
        <x:v>0</x:v>
      </x:c>
      <x:c r="L95" s="76" t="n">
        <x:v>1</x:v>
      </x:c>
      <x:c r="M95" s="35" t="str"/>
    </x:row>
    <x:row r="96">
      <x:c r="A96" s="16" t="str">
        <x:v>WBF-084</x:v>
      </x:c>
      <x:c r="B96" s="16" t="str">
        <x:v>2025-08-20—2025-08-31</x:v>
      </x:c>
      <x:c r="C96" s="16" t="str">
        <x:v>第47届世界桥牌团体锦标赛</x:v>
      </x:c>
      <x:c r="D96" s="16" t="str">
        <x:v>Venice Cup 女子团体</x:v>
      </x:c>
      <x:c r="E96" s="16" t="n">
        <x:v>2</x:v>
      </x:c>
      <x:c r="F96" s="16" t="str">
        <x:v>CHINA</x:v>
      </x:c>
      <x:c r="G96" s="17" t="n">
        <x:v>6</x:v>
      </x:c>
      <x:c r="H96" s="17" t="n">
        <x:v>6</x:v>
      </x:c>
      <x:c r="I96" s="75" t="n">
        <x:v>1</x:v>
      </x:c>
      <x:c r="J96" s="75" t="n">
        <x:v>0</x:v>
      </x:c>
      <x:c r="K96" s="75" t="n">
        <x:v>1</x:v>
      </x:c>
      <x:c r="L96" s="75" t="n">
        <x:v>0</x:v>
      </x:c>
      <x:c r="M96" s="16" t="str"/>
    </x:row>
    <x:row r="97">
      <x:c r="A97" s="35" t="str">
        <x:v>WBF-085</x:v>
      </x:c>
      <x:c r="B97" s="35" t="str">
        <x:v>2025-08-20—2025-08-31</x:v>
      </x:c>
      <x:c r="C97" s="35" t="str">
        <x:v>第47届世界桥牌团体锦标赛</x:v>
      </x:c>
      <x:c r="D97" s="35" t="str">
        <x:v>Wuhan Cup 混合团体</x:v>
      </x:c>
      <x:c r="E97" s="35" t="n">
        <x:v>2</x:v>
      </x:c>
      <x:c r="F97" s="35" t="str">
        <x:v>CHINA</x:v>
      </x:c>
      <x:c r="G97" s="36" t="n">
        <x:v>6</x:v>
      </x:c>
      <x:c r="H97" s="36" t="n">
        <x:v>6</x:v>
      </x:c>
      <x:c r="I97" s="76" t="n">
        <x:v>1</x:v>
      </x:c>
      <x:c r="J97" s="76" t="n">
        <x:v>0</x:v>
      </x:c>
      <x:c r="K97" s="76" t="n">
        <x:v>1</x:v>
      </x:c>
      <x:c r="L97" s="76" t="n">
        <x:v>0</x:v>
      </x:c>
      <x:c r="M97" s="35" t="str"/>
    </x:row>
    <x:row r="98">
      <x:c r="A98" s="16" t="str">
        <x:v>WBF-086</x:v>
      </x:c>
      <x:c r="B98" s="16" t="str">
        <x:v>2026-08-03—2026-08-08</x:v>
      </x:c>
      <x:c r="C98" s="16" t="str">
        <x:v>第9届世界青年跨国锦标赛</x:v>
      </x:c>
      <x:c r="D98" s="16" t="str">
        <x:v>U16 Pairs</x:v>
      </x:c>
      <x:c r="E98" s="16" t="n">
        <x:v>1</x:v>
      </x:c>
      <x:c r="F98" s="16" t="str">
        <x:v>Lepeng Shen – Xiao Xu</x:v>
      </x:c>
      <x:c r="G98" s="17" t="n">
        <x:v>2</x:v>
      </x:c>
      <x:c r="H98" s="17" t="n">
        <x:v>2</x:v>
      </x:c>
      <x:c r="I98" s="75" t="n">
        <x:v>1</x:v>
      </x:c>
      <x:c r="J98" s="75" t="n">
        <x:v>1</x:v>
      </x:c>
      <x:c r="K98" s="75" t="n">
        <x:v>0</x:v>
      </x:c>
      <x:c r="L98" s="75" t="n">
        <x:v>0</x:v>
      </x:c>
      <x:c r="M98" s="16" t="str"/>
    </x:row>
    <x:row r="99">
      <x:c r="A99" s="35" t="str">
        <x:v>WBF-087</x:v>
      </x:c>
      <x:c r="B99" s="35" t="str">
        <x:v>2026-08-03—2026-08-08</x:v>
      </x:c>
      <x:c r="C99" s="35" t="str">
        <x:v>第9届世界青年跨国锦标赛</x:v>
      </x:c>
      <x:c r="D99" s="35" t="str">
        <x:v>U16 Pairs</x:v>
      </x:c>
      <x:c r="E99" s="35" t="n">
        <x:v>2</x:v>
      </x:c>
      <x:c r="F99" s="35" t="str">
        <x:v>Xinhao Wu – Yezhen Ji</x:v>
      </x:c>
      <x:c r="G99" s="36" t="n">
        <x:v>2</x:v>
      </x:c>
      <x:c r="H99" s="36" t="n">
        <x:v>2</x:v>
      </x:c>
      <x:c r="I99" s="76" t="n">
        <x:v>1</x:v>
      </x:c>
      <x:c r="J99" s="76" t="n">
        <x:v>0</x:v>
      </x:c>
      <x:c r="K99" s="76" t="n">
        <x:v>1</x:v>
      </x:c>
      <x:c r="L99" s="76" t="n">
        <x:v>0</x:v>
      </x:c>
      <x:c r="M99" s="35" t="str"/>
    </x:row>
    <x:row r="100">
      <x:c r="A100" s="16" t="str">
        <x:v>WBF-088</x:v>
      </x:c>
      <x:c r="B100" s="16" t="str">
        <x:v>2026-08-03—2026-08-08</x:v>
      </x:c>
      <x:c r="C100" s="16" t="str">
        <x:v>第9届世界青年跨国锦标赛</x:v>
      </x:c>
      <x:c r="D100" s="16" t="str">
        <x:v>U16 Teams</x:v>
      </x:c>
      <x:c r="E100" s="16" t="n">
        <x:v>1</x:v>
      </x:c>
      <x:c r="F100" s="16" t="str">
        <x:v>NT TTAOQI</x:v>
      </x:c>
      <x:c r="G100" s="17" t="n">
        <x:v>5</x:v>
      </x:c>
      <x:c r="H100" s="17" t="n">
        <x:v>5</x:v>
      </x:c>
      <x:c r="I100" s="75" t="n">
        <x:v>1</x:v>
      </x:c>
      <x:c r="J100" s="75" t="n">
        <x:v>1</x:v>
      </x:c>
      <x:c r="K100" s="75" t="n">
        <x:v>0</x:v>
      </x:c>
      <x:c r="L100" s="75" t="n">
        <x:v>0</x:v>
      </x:c>
      <x:c r="M100" s="16" t="str"/>
    </x:row>
    <x:row r="101">
      <x:c r="A101" s="35" t="str">
        <x:v>WBF-089</x:v>
      </x:c>
      <x:c r="B101" s="35" t="str">
        <x:v>2026-08-03—2026-08-08</x:v>
      </x:c>
      <x:c r="C101" s="35" t="str">
        <x:v>第9届世界青年跨国锦标赛</x:v>
      </x:c>
      <x:c r="D101" s="35" t="str">
        <x:v>U16 Teams</x:v>
      </x:c>
      <x:c r="E101" s="35" t="n">
        <x:v>3</x:v>
      </x:c>
      <x:c r="F101" s="35" t="str">
        <x:v>SHANGHAI NTBC TANK</x:v>
      </x:c>
      <x:c r="G101" s="36" t="n">
        <x:v>6</x:v>
      </x:c>
      <x:c r="H101" s="36" t="n">
        <x:v>6</x:v>
      </x:c>
      <x:c r="I101" s="76" t="n">
        <x:v>1</x:v>
      </x:c>
      <x:c r="J101" s="76" t="n">
        <x:v>0</x:v>
      </x:c>
      <x:c r="K101" s="76" t="n">
        <x:v>0</x:v>
      </x:c>
      <x:c r="L101" s="76" t="n">
        <x:v>1</x:v>
      </x:c>
      <x:c r="M101" s="35" t="str"/>
    </x:row>
    <x:row r="102">
      <x:c r="A102" s="16" t="str">
        <x:v>WBF-090</x:v>
      </x:c>
      <x:c r="B102" s="16" t="str">
        <x:v>2026-08-03—2026-08-08</x:v>
      </x:c>
      <x:c r="C102" s="16" t="str">
        <x:v>第9届世界青年跨国锦标赛</x:v>
      </x:c>
      <x:c r="D102" s="16" t="str">
        <x:v>U21 Pairs</x:v>
      </x:c>
      <x:c r="E102" s="16" t="n">
        <x:v>2</x:v>
      </x:c>
      <x:c r="F102" s="16" t="str">
        <x:v>Jeff Xiao – Yuxuan Liu</x:v>
      </x:c>
      <x:c r="G102" s="17" t="n">
        <x:v>1</x:v>
      </x:c>
      <x:c r="H102" s="17" t="n">
        <x:v>2</x:v>
      </x:c>
      <x:c r="I102" s="75" t="n">
        <x:v>0.5</x:v>
      </x:c>
      <x:c r="J102" s="75" t="n">
        <x:v>0</x:v>
      </x:c>
      <x:c r="K102" s="75" t="n">
        <x:v>0.5</x:v>
      </x:c>
      <x:c r="L102" s="75" t="n">
        <x:v>0</x:v>
      </x:c>
      <x:c r="M102" s="16" t="str">
        <x:v>Jeff Xiao [USA]</x:v>
      </x:c>
    </x:row>
    <x:row r="103">
      <x:c r="A103" s="35" t="str">
        <x:v>WBF-091</x:v>
      </x:c>
      <x:c r="B103" s="35" t="str">
        <x:v>2026-08-03—2026-08-08</x:v>
      </x:c>
      <x:c r="C103" s="35" t="str">
        <x:v>第9届世界青年跨国锦标赛</x:v>
      </x:c>
      <x:c r="D103" s="35" t="str">
        <x:v>U21 Pairs</x:v>
      </x:c>
      <x:c r="E103" s="35" t="n">
        <x:v>3</x:v>
      </x:c>
      <x:c r="F103" s="35" t="str">
        <x:v>Che Han – Yuekai Yang</x:v>
      </x:c>
      <x:c r="G103" s="36" t="n">
        <x:v>2</x:v>
      </x:c>
      <x:c r="H103" s="36" t="n">
        <x:v>2</x:v>
      </x:c>
      <x:c r="I103" s="76" t="n">
        <x:v>1</x:v>
      </x:c>
      <x:c r="J103" s="76" t="n">
        <x:v>0</x:v>
      </x:c>
      <x:c r="K103" s="76" t="n">
        <x:v>0</x:v>
      </x:c>
      <x:c r="L103" s="76" t="n">
        <x:v>1</x:v>
      </x:c>
      <x:c r="M103" s="35" t="str"/>
    </x:row>
    <x:row r="104">
      <x:c r="A104" s="16" t="str">
        <x:v>WBF-092</x:v>
      </x:c>
      <x:c r="B104" s="16" t="str">
        <x:v>2026-08-03—2026-08-08</x:v>
      </x:c>
      <x:c r="C104" s="16" t="str">
        <x:v>第9届世界青年跨国锦标赛</x:v>
      </x:c>
      <x:c r="D104" s="16" t="str">
        <x:v>U21 Teams</x:v>
      </x:c>
      <x:c r="E104" s="16" t="n">
        <x:v>2</x:v>
      </x:c>
      <x:c r="F104" s="16" t="str">
        <x:v>CHINA RDFZ BAXI</x:v>
      </x:c>
      <x:c r="G104" s="17" t="n">
        <x:v>6</x:v>
      </x:c>
      <x:c r="H104" s="17" t="n">
        <x:v>6</x:v>
      </x:c>
      <x:c r="I104" s="75" t="n">
        <x:v>1</x:v>
      </x:c>
      <x:c r="J104" s="75" t="n">
        <x:v>0</x:v>
      </x:c>
      <x:c r="K104" s="75" t="n">
        <x:v>1</x:v>
      </x:c>
      <x:c r="L104" s="75" t="n">
        <x:v>0</x:v>
      </x:c>
      <x:c r="M104" s="16" t="str"/>
    </x:row>
    <x:row r="105">
      <x:c r="A105" s="35" t="str">
        <x:v>WBF-093</x:v>
      </x:c>
      <x:c r="B105" s="35" t="str">
        <x:v>2026-08-03—2026-08-08</x:v>
      </x:c>
      <x:c r="C105" s="35" t="str">
        <x:v>第9届世界青年跨国锦标赛</x:v>
      </x:c>
      <x:c r="D105" s="35" t="str">
        <x:v>U26 Pairs</x:v>
      </x:c>
      <x:c r="E105" s="35" t="n">
        <x:v>1</x:v>
      </x:c>
      <x:c r="F105" s="35" t="str">
        <x:v>Baozhuo Jiang – Brian Zhang</x:v>
      </x:c>
      <x:c r="G105" s="36" t="n">
        <x:v>1</x:v>
      </x:c>
      <x:c r="H105" s="36" t="n">
        <x:v>2</x:v>
      </x:c>
      <x:c r="I105" s="76" t="n">
        <x:v>0.5</x:v>
      </x:c>
      <x:c r="J105" s="76" t="n">
        <x:v>0.5</x:v>
      </x:c>
      <x:c r="K105" s="76" t="n">
        <x:v>0</x:v>
      </x:c>
      <x:c r="L105" s="76" t="n">
        <x:v>0</x:v>
      </x:c>
      <x:c r="M105" s="35" t="str">
        <x:v>Brian Zhang [USA]</x:v>
      </x:c>
    </x:row>
    <x:row r="106">
      <x:c r="A106" s="16" t="str">
        <x:v>WBF-094</x:v>
      </x:c>
      <x:c r="B106" s="16" t="str">
        <x:v>2026-08-03—2026-08-08</x:v>
      </x:c>
      <x:c r="C106" s="16" t="str">
        <x:v>第9届世界青年跨国锦标赛</x:v>
      </x:c>
      <x:c r="D106" s="16" t="str">
        <x:v>U26 Pairs</x:v>
      </x:c>
      <x:c r="E106" s="16" t="n">
        <x:v>2</x:v>
      </x:c>
      <x:c r="F106" s="16" t="str">
        <x:v>Chongshang Huang – Yuantao Zheng</x:v>
      </x:c>
      <x:c r="G106" s="17" t="n">
        <x:v>2</x:v>
      </x:c>
      <x:c r="H106" s="17" t="n">
        <x:v>2</x:v>
      </x:c>
      <x:c r="I106" s="75" t="n">
        <x:v>1</x:v>
      </x:c>
      <x:c r="J106" s="75" t="n">
        <x:v>0</x:v>
      </x:c>
      <x:c r="K106" s="75" t="n">
        <x:v>1</x:v>
      </x:c>
      <x:c r="L106" s="75" t="n">
        <x:v>0</x:v>
      </x:c>
      <x:c r="M106" s="16" t="str"/>
    </x:row>
    <x:row r="107">
      <x:c r="A107" s="35" t="str">
        <x:v>WBF-095</x:v>
      </x:c>
      <x:c r="B107" s="35" t="str">
        <x:v>2026-08-03—2026-08-08</x:v>
      </x:c>
      <x:c r="C107" s="35" t="str">
        <x:v>第9届世界青年跨国锦标赛</x:v>
      </x:c>
      <x:c r="D107" s="35" t="str">
        <x:v>U26 Teams</x:v>
      </x:c>
      <x:c r="E107" s="35" t="n">
        <x:v>2</x:v>
      </x:c>
      <x:c r="F107" s="35" t="str">
        <x:v>REIGNWOOD JUNIORS</x:v>
      </x:c>
      <x:c r="G107" s="36" t="n">
        <x:v>3</x:v>
      </x:c>
      <x:c r="H107" s="36" t="n">
        <x:v>4</x:v>
      </x:c>
      <x:c r="I107" s="76" t="n">
        <x:v>0.75</x:v>
      </x:c>
      <x:c r="J107" s="76" t="n">
        <x:v>0</x:v>
      </x:c>
      <x:c r="K107" s="76" t="n">
        <x:v>0.75</x:v>
      </x:c>
      <x:c r="L107" s="76" t="n">
        <x:v>0</x:v>
      </x:c>
      <x:c r="M107" s="35" t="str">
        <x:v>Brian Zhang [USA]</x:v>
      </x:c>
    </x:row>
    <x:row r="108">
      <x:c r="A108" s="16" t="str">
        <x:v>WBF-096</x:v>
      </x:c>
      <x:c r="B108" s="16" t="str">
        <x:v>2026-08-03—2026-08-08</x:v>
      </x:c>
      <x:c r="C108" s="16" t="str">
        <x:v>第9届世界青年跨国锦标赛</x:v>
      </x:c>
      <x:c r="D108" s="16" t="str">
        <x:v>U26 Women Pairs</x:v>
      </x:c>
      <x:c r="E108" s="16" t="n">
        <x:v>1</x:v>
      </x:c>
      <x:c r="F108" s="16" t="str">
        <x:v>Wenjing Chen – Wanyi Lian</x:v>
      </x:c>
      <x:c r="G108" s="17" t="n">
        <x:v>2</x:v>
      </x:c>
      <x:c r="H108" s="17" t="n">
        <x:v>2</x:v>
      </x:c>
      <x:c r="I108" s="75" t="n">
        <x:v>1</x:v>
      </x:c>
      <x:c r="J108" s="75" t="n">
        <x:v>1</x:v>
      </x:c>
      <x:c r="K108" s="75" t="n">
        <x:v>0</x:v>
      </x:c>
      <x:c r="L108" s="75" t="n">
        <x:v>0</x:v>
      </x:c>
      <x:c r="M108" s="16" t="str"/>
    </x:row>
    <x:row r="109">
      <x:c r="A109" s="35" t="str">
        <x:v>WBF-097</x:v>
      </x:c>
      <x:c r="B109" s="35" t="str">
        <x:v>2026-08-03—2026-08-08</x:v>
      </x:c>
      <x:c r="C109" s="35" t="str">
        <x:v>第9届世界青年跨国锦标赛</x:v>
      </x:c>
      <x:c r="D109" s="35" t="str">
        <x:v>U26 Women Pairs</x:v>
      </x:c>
      <x:c r="E109" s="35" t="n">
        <x:v>2</x:v>
      </x:c>
      <x:c r="F109" s="35" t="str">
        <x:v>Luxi Gong – Wanying Guo</x:v>
      </x:c>
      <x:c r="G109" s="36" t="n">
        <x:v>2</x:v>
      </x:c>
      <x:c r="H109" s="36" t="n">
        <x:v>2</x:v>
      </x:c>
      <x:c r="I109" s="76" t="n">
        <x:v>1</x:v>
      </x:c>
      <x:c r="J109" s="76" t="n">
        <x:v>0</x:v>
      </x:c>
      <x:c r="K109" s="76" t="n">
        <x:v>1</x:v>
      </x:c>
      <x:c r="L109" s="76" t="n">
        <x:v>0</x:v>
      </x:c>
      <x:c r="M109" s="35" t="str"/>
    </x:row>
    <x:row r="110">
      <x:c r="A110" s="16" t="str">
        <x:v>WBF-098</x:v>
      </x:c>
      <x:c r="B110" s="16" t="str">
        <x:v>2026-08-03—2026-08-08</x:v>
      </x:c>
      <x:c r="C110" s="16" t="str">
        <x:v>第9届世界青年跨国锦标赛</x:v>
      </x:c>
      <x:c r="D110" s="16" t="str">
        <x:v>U26 Women Teams</x:v>
      </x:c>
      <x:c r="E110" s="16" t="n">
        <x:v>3</x:v>
      </x:c>
      <x:c r="F110" s="16" t="str">
        <x:v>SHANDONG YANTAI</x:v>
      </x:c>
      <x:c r="G110" s="17" t="n">
        <x:v>6</x:v>
      </x:c>
      <x:c r="H110" s="17" t="n">
        <x:v>6</x:v>
      </x:c>
      <x:c r="I110" s="75" t="n">
        <x:v>1</x:v>
      </x:c>
      <x:c r="J110" s="75" t="n">
        <x:v>0</x:v>
      </x:c>
      <x:c r="K110" s="75" t="n">
        <x:v>0</x:v>
      </x:c>
      <x:c r="L110" s="75" t="n">
        <x:v>1</x:v>
      </x:c>
      <x:c r="M110" s="16" t="str"/>
    </x:row>
    <x:row r="111">
      <x:c r="A111" s="35" t="str">
        <x:v>WBF-099</x:v>
      </x:c>
      <x:c r="B111" s="35" t="str">
        <x:v>2026-08-03—2026-08-08</x:v>
      </x:c>
      <x:c r="C111" s="35" t="str">
        <x:v>第9届世界青年跨国锦标赛</x:v>
      </x:c>
      <x:c r="D111" s="35" t="str">
        <x:v>U31 Pairs</x:v>
      </x:c>
      <x:c r="E111" s="35" t="n">
        <x:v>3</x:v>
      </x:c>
      <x:c r="F111" s="35" t="str">
        <x:v>Jixiao Han – Zian Wang</x:v>
      </x:c>
      <x:c r="G111" s="36" t="n">
        <x:v>2</x:v>
      </x:c>
      <x:c r="H111" s="36" t="n">
        <x:v>2</x:v>
      </x:c>
      <x:c r="I111" s="76" t="n">
        <x:v>1</x:v>
      </x:c>
      <x:c r="J111" s="76" t="n">
        <x:v>0</x:v>
      </x:c>
      <x:c r="K111" s="76" t="n">
        <x:v>0</x:v>
      </x:c>
      <x:c r="L111" s="76" t="n">
        <x:v>1</x:v>
      </x:c>
      <x:c r="M111" s="35" t="str"/>
    </x:row>
    <x:row r="112">
      <x:c r="A112" s="16" t="str">
        <x:v>WBF-100</x:v>
      </x:c>
      <x:c r="B112" s="16" t="str">
        <x:v>2026-08-03—2026-08-08</x:v>
      </x:c>
      <x:c r="C112" s="16" t="str">
        <x:v>第9届世界青年跨国锦标赛</x:v>
      </x:c>
      <x:c r="D112" s="16" t="str">
        <x:v>U31 Teams</x:v>
      </x:c>
      <x:c r="E112" s="16" t="n">
        <x:v>1</x:v>
      </x:c>
      <x:c r="F112" s="16" t="str">
        <x:v>AGOOFANS</x:v>
      </x:c>
      <x:c r="G112" s="17" t="n">
        <x:v>6</x:v>
      </x:c>
      <x:c r="H112" s="17" t="n">
        <x:v>6</x:v>
      </x:c>
      <x:c r="I112" s="75" t="n">
        <x:v>1</x:v>
      </x:c>
      <x:c r="J112" s="75" t="n">
        <x:v>1</x:v>
      </x:c>
      <x:c r="K112" s="75" t="n">
        <x:v>0</x:v>
      </x:c>
      <x:c r="L112" s="75" t="n">
        <x:v>0</x:v>
      </x:c>
      <x:c r="M112" s="16" t="str"/>
    </x:row>
    <x:row r="113">
      <x:c r="A113" s="35" t="str">
        <x:v>WBF-101</x:v>
      </x:c>
      <x:c r="B113" s="35" t="str">
        <x:v>2026-08-03—2026-08-08</x:v>
      </x:c>
      <x:c r="C113" s="35" t="str">
        <x:v>第9届世界青年跨国锦标赛</x:v>
      </x:c>
      <x:c r="D113" s="35" t="str">
        <x:v>U31 Teams</x:v>
      </x:c>
      <x:c r="E113" s="35" t="n">
        <x:v>2</x:v>
      </x:c>
      <x:c r="F113" s="35" t="str">
        <x:v>CHINA U31</x:v>
      </x:c>
      <x:c r="G113" s="36" t="n">
        <x:v>6</x:v>
      </x:c>
      <x:c r="H113" s="36" t="n">
        <x:v>6</x:v>
      </x:c>
      <x:c r="I113" s="76" t="n">
        <x:v>1</x:v>
      </x:c>
      <x:c r="J113" s="76" t="n">
        <x:v>0</x:v>
      </x:c>
      <x:c r="K113" s="76" t="n">
        <x:v>1</x:v>
      </x:c>
      <x:c r="L113" s="76" t="n">
        <x:v>0</x:v>
      </x:c>
      <x:c r="M113" s="35" t="str"/>
    </x:row>
  </x:sheetData>
  <x:mergeCells>
    <x:mergeCell ref="A1:M1"/>
    <x:mergeCell ref="A2:M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30" hidden="0" customWidth="1"/>
    <x:col min="5" max="5" width="64" hidden="0" customWidth="1"/>
    <x:col min="6" max="6" width="72" hidden="0" customWidth="1"/>
    <x:col min="7" max="7" width="62" hidden="0" customWidth="1"/>
    <x:col min="8" max="8" width="72" hidden="0" customWidth="1"/>
    <x:col min="9" max="9" width="54" hidden="0" customWidth="1"/>
    <x:col min="10" max="10" width="12" hidden="0" customWidth="1"/>
  </x:cols>
  <x:sheetData>
    <x:row r="1" ht="30" customHeight="1">
      <x:c r="A1" s="39" t="str">
        <x:v>中文姓名最佳猜测：逐人推断依据</x:v>
      </x:c>
      <x:c r="B1" s="39"/>
      <x:c r="C1" s="39"/>
      <x:c r="D1" s="39"/>
      <x:c r="E1" s="39"/>
      <x:c r="F1" s="39"/>
      <x:c r="G1" s="39"/>
      <x:c r="H1" s="39"/>
      <x:c r="I1" s="39"/>
      <x:c r="J1" s="39"/>
    </x:row>
    <x:row r="2" ht="58" customHeight="1">
      <x:c r="A2" s="31" t="str">
        <x:v>每一位入表CHN选手均列一行。高=国内中文资料与WBF阵容/时间/队伍可交叉；中=上下文推断；低=仅拼音候选；空白=不作猜测。新闻只用于姓名映射，不用于决定名次。</x:v>
      </x:c>
      <x:c r="B2" s="31"/>
      <x:c r="C2" s="31"/>
      <x:c r="D2" s="31"/>
      <x:c r="E2" s="31"/>
      <x:c r="F2" s="31"/>
      <x:c r="G2" s="31"/>
      <x:c r="H2" s="31"/>
      <x:c r="I2" s="31"/>
      <x:c r="J2" s="31"/>
    </x:row>
    <x:row r="3">
      <x:c r="A3" s="49" t="str">
        <x:v>绿色：高</x:v>
      </x:c>
      <x:c r="B3" s="49"/>
      <x:c r="C3" s="52" t="str">
        <x:v>黄色：中</x:v>
      </x:c>
      <x:c r="D3" s="52"/>
      <x:c r="E3" s="55" t="str">
        <x:v>橙色：低</x:v>
      </x:c>
      <x:c r="F3" s="55"/>
      <x:c r="G3" s="58" t="str">
        <x:v>灰色：空白/无法可靠推断</x:v>
      </x:c>
      <x:c r="H3" s="58"/>
      <x:c r="I3" s="58"/>
      <x:c r="J3" s="58"/>
    </x:row>
    <x:row r="4">
      <x:c r="A4" s="46" t="str">
        <x:v>WBF英文姓名</x:v>
      </x:c>
      <x:c r="B4" s="46" t="str">
        <x:v>中文姓名最佳猜测</x:v>
      </x:c>
      <x:c r="C4" s="46" t="str">
        <x:v>确定度</x:v>
      </x:c>
      <x:c r="D4" s="46" t="str">
        <x:v>证据类型</x:v>
      </x:c>
      <x:c r="E4" s="46" t="str">
        <x:v>具体推断依据</x:v>
      </x:c>
      <x:c r="F4" s="46" t="str">
        <x:v>赛事/队伍/活动时间上下文</x:v>
      </x:c>
      <x:c r="G4" s="46" t="str">
        <x:v>国内中文资料（姓名映射用）</x:v>
      </x:c>
      <x:c r="H4" s="46" t="str">
        <x:v>WBF成绩/阵容来源</x:v>
      </x:c>
      <x:c r="I4" s="46" t="str">
        <x:v>歧义与保留意见</x:v>
      </x:c>
      <x:c r="J4" s="46" t="str">
        <x:v>入表获奖次数</x:v>
      </x:c>
    </x:row>
    <x:row r="5">
      <x:c r="A5" s="17" t="str">
        <x:v>Aijia Yuan</x:v>
      </x:c>
      <x:c r="B5" s="67" t="str">
        <x:v>袁艾佳</x:v>
      </x:c>
      <x:c r="C5" s="67" t="str">
        <x:v>中</x:v>
      </x:c>
      <x:c r="D5" s="17" t="str">
        <x:v>赛事时间、队伍/搭档与拼音交叉</x:v>
      </x:c>
      <x:c r="E5" s="16" t="str">
        <x:v>WBF登记为“Aijia Yuan”；结合所列赛事年代、年龄组、队伍/搭档与国内常见写法，最佳候选为“袁艾佳”。尚缺一份能同时列出英文拼音与中文全名的直接名单。</x:v>
      </x:c>
      <x:c r="F5" s="16" t="str">
        <x:v>2015-08-20—2015-08-29｜第4届世界青年公开锦标赛｜U26 Women Teams / Girls Teams｜SX XHLD</x:v>
      </x:c>
      <x:c r="G5" s="16" t="str"/>
      <x:c r="H5" s="16" t="str">
        <x:v>https://db.worldbridge.org/Repository/tourn/Opatija.15/Microsite/Results.htm</x:v>
      </x:c>
      <x:c r="I5" s="16" t="str">
        <x:v>汉字可能有同音替代，故标为中确定度；国内资料栏不填，避免把间接报道当成直接证据。</x:v>
      </x:c>
      <x:c r="J5" s="17" t="n">
        <x:v>1</x:v>
      </x:c>
    </x:row>
    <x:row r="6">
      <x:c r="A6" s="36" t="str">
        <x:v>Bangxiang Zhang</x:v>
      </x:c>
      <x:c r="B6" s="61" t="str">
        <x:v>张邦祥</x:v>
      </x:c>
      <x:c r="C6" s="61" t="str">
        <x:v>高</x:v>
      </x:c>
      <x:c r="D6" s="36" t="str">
        <x:v>国内中文名单/报道 + WBF阵容交叉</x:v>
      </x:c>
      <x:c r="E6" s="35" t="str">
        <x:v>WBF登记为“Bangxiang Zhang”；国内桥牌资讯中出现“张邦祥”，并用同届比赛、队伍/搭档和活动时间交叉，拼音与中文姓名可形成较唯一对应。</x:v>
      </x:c>
      <x:c r="F6" s="35" t="str">
        <x:v>2014-10｜世界桥牌综合锦标赛｜Mixed Pairs 混合双人｜Bangxiang Zhang – Nan Wang</x:v>
      </x:c>
      <x:c r="G6" s="35" t="str">
        <x:v>https://www.ourgame.com/arranghtml/news7.html</x:v>
      </x:c>
      <x:c r="H6" s="35" t="str">
        <x:v>https://www.wbfmasterpoints.com/Medalsreport.asp</x:v>
      </x:c>
      <x:c r="I6" s="35" t="str">
        <x:v>仍可能存在WBF名序、空格或旧库拼写差异；以所列中文资料和赛事上下文为判断基础。</x:v>
      </x:c>
      <x:c r="J6" s="36" t="n">
        <x:v>1</x:v>
      </x:c>
    </x:row>
    <x:row r="7">
      <x:c r="A7" s="17" t="str">
        <x:v>Baozhuo Jiang</x:v>
      </x:c>
      <x:c r="B7" s="78" t="str">
        <x:v>江宝卓</x:v>
      </x:c>
      <x:c r="C7" s="78" t="str">
        <x:v>低</x:v>
      </x:c>
      <x:c r="D7" s="17" t="str">
        <x:v>仅拼音最佳猜测</x:v>
      </x:c>
      <x:c r="E7" s="16" t="str">
        <x:v>WBF登记为“Baozhuo Jiang”；按姓名拼音与中国姓名常见用字给出“江宝卓”作为可检索候选。未找到能与同届队伍/搭档闭环的国内中文名单。</x:v>
      </x:c>
      <x:c r="F7" s="16" t="str">
        <x:v>2014-08-13—2014-08-23｜世界青年团体锦标赛｜U16 Teams｜CHINA
2015-08-20—2015-08-29｜第4届世界青年公开锦标赛｜U16 Teams / Kids Teams｜CHINA RDFZ1
2017-08-15—2017-08-24｜第5届世界青年公开锦标赛｜U21 Teams / Youngsters Teams｜CHINA
2018-08-08—2018-08-18｜世界青年团体锦标赛｜Youth BAM｜CHINA YOUNGSTERS
另有2条，见个人奖牌榜明细</x:v>
      </x:c>
      <x:c r="G7" s="16" t="str"/>
      <x:c r="H7" s="16" t="str">
        <x:v>https://www.worldbridge.org/competitions/the-world-youth-team-championships/
https://www.worldbridge.org/competitions/the-world-youth-transnational-bridge-championships/
https://db.worldbridge.org/repository/tourn/lyonyouth.17/microsite/results.htm
https://db.worldbridge.org/Repository/tourn/hefei.26/microsite/Asp/TotalPairs.asp?qtournid=2665&amp;qgroupno=1&amp;qroundno=3
https://db.worldbridge.org/Repository/tourn/hefei.26/microsite/results.htm</x:v>
      </x:c>
      <x:c r="I7" s="16" t="str">
        <x:v>姓氏同音（如 Yu=于/余/俞）及名字同音字均可能；不能视为身份确认。</x:v>
      </x:c>
      <x:c r="J7" s="17" t="n">
        <x:v>6</x:v>
      </x:c>
    </x:row>
    <x:row r="8">
      <x:c r="A8" s="36" t="str">
        <x:v>Bing Du</x:v>
      </x:c>
      <x:c r="B8" s="61" t="str">
        <x:v>杜冰</x:v>
      </x:c>
      <x:c r="C8" s="61" t="str">
        <x:v>高</x:v>
      </x:c>
      <x:c r="D8" s="36" t="str">
        <x:v>国内中文名单/报道 + WBF阵容交叉</x:v>
      </x:c>
      <x:c r="E8" s="35" t="str">
        <x:v>WBF登记为“Bing Du”；国内桥牌资讯中出现“杜冰”，并用同届比赛、队伍/搭档和活动时间交叉，拼音与中文姓名可形成较唯一对应。</x:v>
      </x:c>
      <x:c r="F8" s="35" t="str">
        <x:v>2008-10-03—2008-10-18｜第1届世界智力运动会 / 世界桥牌运动会｜Transnational Mixed Teams 跨国混合团体｜A-EVERTRUST HOLDING GROUP</x:v>
      </x:c>
      <x:c r="G8" s="35" t="str">
        <x:v>https://sports.sina.cn/others/qipai/2020-07-07/detail-iirczymm1038498.d.html?vt=4</x:v>
      </x:c>
      <x:c r="H8" s="35" t="str">
        <x:v>https://db.worldbridge.org/repository/tourn/Beijing.08/Beijing.htm</x:v>
      </x:c>
      <x:c r="I8" s="35" t="str">
        <x:v>仍可能存在WBF名序、空格或旧库拼写差异；以所列中文资料和赛事上下文为判断基础。</x:v>
      </x:c>
      <x:c r="J8" s="36" t="n">
        <x:v>1</x:v>
      </x:c>
    </x:row>
    <x:row r="9">
      <x:c r="A9" s="17" t="str">
        <x:v>Bing Zhao</x:v>
      </x:c>
      <x:c r="B9" s="67" t="str">
        <x:v>赵冰</x:v>
      </x:c>
      <x:c r="C9" s="67" t="str">
        <x:v>中</x:v>
      </x:c>
      <x:c r="D9" s="17" t="str">
        <x:v>赛事时间、队伍/搭档与拼音交叉</x:v>
      </x:c>
      <x:c r="E9" s="16" t="str">
        <x:v>WBF登记为“Bing Zhao”；结合所列赛事年代、年龄组、队伍/搭档与国内常见写法，最佳候选为“赵冰”。尚缺一份能同时列出英文拼音与中文全名的直接名单。</x:v>
      </x:c>
      <x:c r="F9" s="16" t="str">
        <x:v>2014-08-13—2014-08-23｜世界青年团体锦标赛｜U26 Women Teams｜CHINA</x:v>
      </x:c>
      <x:c r="G9" s="16" t="str"/>
      <x:c r="H9" s="16" t="str">
        <x:v>https://www.worldbridge.org/competitions/the-world-youth-team-championships/</x:v>
      </x:c>
      <x:c r="I9" s="16" t="str">
        <x:v>汉字可能有同音替代，故标为中确定度；国内资料栏不填，避免把间接报道当成直接证据。</x:v>
      </x:c>
      <x:c r="J9" s="17" t="n">
        <x:v>1</x:v>
      </x:c>
    </x:row>
    <x:row r="10">
      <x:c r="A10" s="36" t="str">
        <x:v>Bo Fu</x:v>
      </x:c>
      <x:c r="B10" s="61" t="str">
        <x:v>傅博</x:v>
      </x:c>
      <x:c r="C10" s="61" t="str">
        <x:v>高</x:v>
      </x:c>
      <x:c r="D10" s="36" t="str">
        <x:v>国内中文名单/报道 + WBF阵容交叉</x:v>
      </x:c>
      <x:c r="E10" s="35" t="str">
        <x:v>WBF登记为“Bo Fu”；国内桥牌资讯中出现“傅博”，并用同届比赛、队伍/搭档和活动时间交叉，拼音与中文姓名可形成较唯一对应。</x:v>
      </x:c>
      <x:c r="F10" s="35" t="str">
        <x:v>2014-08-13—2014-08-23｜世界青年团体锦标赛｜U26 Women Teams｜CHINA
2018-08-08—2018-08-18｜世界青年团体锦标赛｜U26 Women Teams｜CHINA
2024-10-22—2024-11-03｜第16届世界桥牌运动会｜Mixed Teams 混合团体｜CHINA
2025-08-20—2025-08-31｜第47届世界桥牌团体锦标赛｜Wuhan Cup 混合团体｜CHINA</x:v>
      </x:c>
      <x:c r="G10" s="35" t="str">
        <x:v>https://news.qq.com/rain/a/20250828A04GG700</x:v>
      </x:c>
      <x:c r="H10" s="35" t="str">
        <x:v>https://www.worldbridge.org/competitions/the-world-youth-team-championships/
https://www.worldbridge.org/2024/11/world-bridge-games-2024-the-winners/
https://www.worldbridge.org/2025/08/congratulations-to-the-champions/</x:v>
      </x:c>
      <x:c r="I10" s="35" t="str">
        <x:v>仍可能存在WBF名序、空格或旧库拼写差异；以所列中文资料和赛事上下文为判断基础。</x:v>
      </x:c>
      <x:c r="J10" s="36" t="n">
        <x:v>4</x:v>
      </x:c>
    </x:row>
    <x:row r="11">
      <x:c r="A11" s="17" t="str">
        <x:v>Boxin Zhang</x:v>
      </x:c>
      <x:c r="B11" s="61" t="str">
        <x:v>张博信</x:v>
      </x:c>
      <x:c r="C11" s="61" t="str">
        <x:v>高</x:v>
      </x:c>
      <x:c r="D11" s="17" t="str">
        <x:v>国内中文名单/报道 + WBF阵容交叉</x:v>
      </x:c>
      <x:c r="E11" s="16" t="str">
        <x:v>WBF登记为“Boxin Zhang”；国内桥牌资讯中出现“张博信”，并用同届比赛、队伍/搭档和活动时间交叉，拼音与中文姓名可形成较唯一对应。</x:v>
      </x:c>
      <x:c r="F11" s="16" t="str">
        <x:v>2017-08-15—2017-08-24｜第5届世界青年公开锦标赛｜U16 Teams / Kids Teams｜CHINA RDFZ GALAXY</x:v>
      </x:c>
      <x:c r="G11" s="16" t="str">
        <x:v>https://sports.sina.cn/others/qipai/2020-07-07/detail-iirczymm1038498.d.html?vt=4</x:v>
      </x:c>
      <x:c r="H11" s="16" t="str">
        <x:v>https://www.worldbridge.org/competitions/the-world-youth-transnational-bridge-championships/</x:v>
      </x:c>
      <x:c r="I11" s="16" t="str">
        <x:v>仍可能存在WBF名序、空格或旧库拼写差异；以所列中文资料和赛事上下文为判断基础。</x:v>
      </x:c>
      <x:c r="J11" s="17" t="n">
        <x:v>1</x:v>
      </x:c>
    </x:row>
    <x:row r="12">
      <x:c r="A12" s="36" t="str">
        <x:v>Can Ge</x:v>
      </x:c>
      <x:c r="B12" s="78" t="str">
        <x:v>葛灿</x:v>
      </x:c>
      <x:c r="C12" s="78" t="str">
        <x:v>低</x:v>
      </x:c>
      <x:c r="D12" s="36" t="str">
        <x:v>仅拼音最佳猜测</x:v>
      </x:c>
      <x:c r="E12" s="35" t="str">
        <x:v>WBF登记为“Can Ge”；按姓名拼音与中国姓名常见用字给出“葛灿”作为可检索候选。未找到能与同届队伍/搭档闭环的国内中文名单。</x:v>
      </x:c>
      <x:c r="F12" s="35" t="str">
        <x:v>2026-08-03—2026-08-08｜第9届世界青年跨国锦标赛｜U26 Women Teams｜SHANDONG YANTAI</x:v>
      </x:c>
      <x:c r="G12" s="35" t="str"/>
      <x:c r="H12" s="35" t="str">
        <x:v>https://db.worldbridge.org/Repository/tourn/hefei.26/microsite/results.htm</x:v>
      </x:c>
      <x:c r="I12" s="35" t="str">
        <x:v>姓氏同音（如 Yu=于/余/俞）及名字同音字均可能；不能视为身份确认。</x:v>
      </x:c>
      <x:c r="J12" s="36" t="n">
        <x:v>1</x:v>
      </x:c>
    </x:row>
    <x:row r="13">
      <x:c r="A13" s="17" t="str">
        <x:v>Che Han</x:v>
      </x:c>
      <x:c r="B13" s="78" t="str">
        <x:v>韩澈</x:v>
      </x:c>
      <x:c r="C13" s="78" t="str">
        <x:v>低</x:v>
      </x:c>
      <x:c r="D13" s="17" t="str">
        <x:v>仅拼音最佳猜测</x:v>
      </x:c>
      <x:c r="E13" s="16" t="str">
        <x:v>WBF登记为“Che Han”；按姓名拼音与中国姓名常见用字给出“韩澈”作为可检索候选。未找到能与同届队伍/搭档闭环的国内中文名单。</x:v>
      </x:c>
      <x:c r="F13" s="16" t="str">
        <x:v>2026-08-03—2026-08-08｜第9届世界青年跨国锦标赛｜U21 Pairs｜Che Han – Yuekai Yang
2026-08-03—2026-08-08｜第9届世界青年跨国锦标赛｜U21 Teams｜CHINA RDFZ BAXI</x:v>
      </x:c>
      <x:c r="G13" s="16" t="str"/>
      <x:c r="H13" s="16" t="str">
        <x:v>https://db.worldbridge.org/Repository/tourn/hefei.26/microsite/Asp/TotalPairs.asp?qtournid=2666&amp;qgroupno=1&amp;qroundno=3
https://db.worldbridge.org/Repository/tourn/hefei.26/microsite/results.htm</x:v>
      </x:c>
      <x:c r="I13" s="16" t="str">
        <x:v>姓氏同音（如 Yu=于/余/俞）及名字同音字均可能；不能视为身份确认。</x:v>
      </x:c>
      <x:c r="J13" s="17" t="n">
        <x:v>2</x:v>
      </x:c>
    </x:row>
    <x:row r="14">
      <x:c r="A14" s="36" t="str">
        <x:v>Cheng Deng</x:v>
      </x:c>
      <x:c r="B14" s="61" t="str">
        <x:v>邓程</x:v>
      </x:c>
      <x:c r="C14" s="61" t="str">
        <x:v>高</x:v>
      </x:c>
      <x:c r="D14" s="36" t="str">
        <x:v>国内中文名单/报道 + WBF阵容交叉</x:v>
      </x:c>
      <x:c r="E14" s="35" t="str">
        <x:v>WBF登记为“Cheng Deng”；国内桥牌资讯中出现“邓程”，并用同届比赛、队伍/搭档和活动时间交叉，拼音与中文姓名可形成较唯一对应。</x:v>
      </x:c>
      <x:c r="F14" s="35" t="str">
        <x:v>2016-08-03—2016-08-13｜世界青年团体锦标赛｜U16 Teams｜CHINA2
2017-08-15—2017-08-24｜第5届世界青年公开锦标赛｜U21 Pairs / Youngsters Pairs｜Cheng Deng – Zhijie Yuan
2017-08-15—2017-08-24｜第5届世界青年公开锦标赛｜U21 Teams / Youngsters Teams｜SHENGXING TEAM</x:v>
      </x:c>
      <x:c r="G14" s="35" t="str">
        <x:v>https://sports.sina.cn/others/qipai/2020-07-07/detail-iirczymm1038498.d.html?vt=4</x:v>
      </x:c>
      <x:c r="H14" s="35" t="str">
        <x:v>https://www.worldbridge.org/competitions/the-world-youth-team-championships/
https://db.worldbridge.org/repository/tourn/lyonyouth.17/microsite/Asp/TotalPairs.asp?qtournid=1455&amp;qroundno=3&amp;qgroupno=1
https://db.worldbridge.org/repository/tourn/lyonyouth.17/microsite/results.htm</x:v>
      </x:c>
      <x:c r="I14" s="35" t="str">
        <x:v>仍可能存在WBF名序、空格或旧库拼写差异；以所列中文资料和赛事上下文为判断基础。</x:v>
      </x:c>
      <x:c r="J14" s="36" t="n">
        <x:v>3</x:v>
      </x:c>
    </x:row>
    <x:row r="15">
      <x:c r="A15" s="17" t="str">
        <x:v>Cheng Lin</x:v>
      </x:c>
      <x:c r="B15" s="78" t="str">
        <x:v>林成</x:v>
      </x:c>
      <x:c r="C15" s="78" t="str">
        <x:v>低</x:v>
      </x:c>
      <x:c r="D15" s="17" t="str">
        <x:v>仅拼音最佳猜测</x:v>
      </x:c>
      <x:c r="E15" s="16" t="str">
        <x:v>WBF登记为“Cheng Lin”；按姓名拼音与中国姓名常见用字给出“林成”作为可检索候选。未找到能与同届队伍/搭档闭环的国内中文名单。</x:v>
      </x:c>
      <x:c r="F15" s="16" t="str">
        <x:v>2026-08-03—2026-08-08｜第9届世界青年跨国锦标赛｜U16 Teams｜SHANGHAI NTBC TANK</x:v>
      </x:c>
      <x:c r="G15" s="16" t="str"/>
      <x:c r="H15" s="16" t="str">
        <x:v>https://db.worldbridge.org/Repository/tourn/hefei.26/microsite/results.htm</x:v>
      </x:c>
      <x:c r="I15" s="16" t="str">
        <x:v>姓氏同音（如 Yu=于/余/俞）及名字同音字均可能；不能视为身份确认。</x:v>
      </x:c>
      <x:c r="J15" s="17" t="n">
        <x:v>1</x:v>
      </x:c>
    </x:row>
    <x:row r="16">
      <x:c r="A16" s="36" t="str">
        <x:v>Chengke Hu</x:v>
      </x:c>
      <x:c r="B16" s="61" t="str">
        <x:v>胡承珂</x:v>
      </x:c>
      <x:c r="C16" s="61" t="str">
        <x:v>高</x:v>
      </x:c>
      <x:c r="D16" s="36" t="str">
        <x:v>国内中文名单/报道 + WBF阵容交叉</x:v>
      </x:c>
      <x:c r="E16" s="35" t="str">
        <x:v>WBF登记为“Chengke Hu”；国内桥牌资讯中出现“胡承珂”，并用同届比赛、队伍/搭档和活动时间交叉，拼音与中文姓名可形成较唯一对应。</x:v>
      </x:c>
      <x:c r="F16" s="35" t="str">
        <x:v>2018-08-08—2018-08-18｜世界青年团体锦标赛｜U26 Women Teams｜CHINA</x:v>
      </x:c>
      <x:c r="G16" s="35" t="str">
        <x:v>https://sports.sina.cn/others/qipai/2020-07-07/detail-iirczymm1038498.d.html?vt=4</x:v>
      </x:c>
      <x:c r="H16" s="35" t="str">
        <x:v>https://www.worldbridge.org/competitions/the-world-youth-team-championships/</x:v>
      </x:c>
      <x:c r="I16" s="35" t="str">
        <x:v>仍可能存在WBF名序、空格或旧库拼写差异；以所列中文资料和赛事上下文为判断基础。</x:v>
      </x:c>
      <x:c r="J16" s="36" t="n">
        <x:v>1</x:v>
      </x:c>
    </x:row>
    <x:row r="17">
      <x:c r="A17" s="17" t="str">
        <x:v>Chenyang Xiong</x:v>
      </x:c>
      <x:c r="B17" s="78" t="str">
        <x:v>熊晨阳</x:v>
      </x:c>
      <x:c r="C17" s="78" t="str">
        <x:v>低</x:v>
      </x:c>
      <x:c r="D17" s="17" t="str">
        <x:v>仅拼音最佳猜测</x:v>
      </x:c>
      <x:c r="E17" s="16" t="str">
        <x:v>WBF登记为“Chenyang Xiong”；按姓名拼音与中国姓名常见用字给出“熊晨阳”作为可检索候选。未找到能与同届队伍/搭档闭环的国内中文名单。</x:v>
      </x:c>
      <x:c r="F17" s="16" t="str">
        <x:v>2026-08-03—2026-08-08｜第9届世界青年跨国锦标赛｜U16 Teams｜SHANGHAI NTBC TANK</x:v>
      </x:c>
      <x:c r="G17" s="16" t="str"/>
      <x:c r="H17" s="16" t="str">
        <x:v>https://db.worldbridge.org/Repository/tourn/hefei.26/microsite/results.htm</x:v>
      </x:c>
      <x:c r="I17" s="16" t="str">
        <x:v>姓氏同音（如 Yu=于/余/俞）及名字同音字均可能；不能视为身份确认。</x:v>
      </x:c>
      <x:c r="J17" s="17" t="n">
        <x:v>1</x:v>
      </x:c>
    </x:row>
    <x:row r="18">
      <x:c r="A18" s="36" t="str">
        <x:v>Chenyun Ge</x:v>
      </x:c>
      <x:c r="B18" s="61" t="str">
        <x:v>葛晨韵</x:v>
      </x:c>
      <x:c r="C18" s="61" t="str">
        <x:v>高</x:v>
      </x:c>
      <x:c r="D18" s="36" t="str">
        <x:v>国内中文名单/报道 + WBF阵容交叉</x:v>
      </x:c>
      <x:c r="E18" s="35" t="str">
        <x:v>WBF登记为“Chenyun Ge”；国内桥牌资讯中出现“葛晨韵”，并用同届比赛、队伍/搭档和活动时间交叉，拼音与中文姓名可形成较唯一对应。</x:v>
      </x:c>
      <x:c r="F18" s="35" t="str">
        <x:v>2015-08-20—2015-08-29｜第4届世界青年公开锦标赛｜U26 Women Teams / Girls Teams｜SX XHLD
2017-08-15—2017-08-24｜第5届世界青年公开锦标赛｜U26 Women Teams / Girls Teams｜SHENGXING TEAM 1
2019-08-20—2019-08-29｜第6届世界青年公开锦标赛｜U26 Women Pairs｜Yijia Lu – Chenyun Ge
2019-08-20—2019-08-29｜第6届世界青年公开锦标赛｜U26 Women Teams｜SXPEONY</x:v>
      </x:c>
      <x:c r="G18" s="35" t="str">
        <x:v>https://www.chinanews.com/ty/2015/04-01/7177669.shtml</x:v>
      </x:c>
      <x:c r="H18" s="35" t="str">
        <x:v>https://db.worldbridge.org/Repository/tourn/Opatija.15/Microsite/Results.htm
https://db.worldbridge.org/repository/tourn/lyonyouth.17/microsite/Asp/knockoutphase.asp?qtournid=1460&amp;qphase=FF
https://www.worldbridge.org/2019/08/6th-world-youth-open-championships-the-pairs-winners/
https://www.worldbridge.org/2019/08/6th-world-youth-open-championships-the-teams-and-bam-winners/</x:v>
      </x:c>
      <x:c r="I18" s="35" t="str">
        <x:v>仍可能存在WBF名序、空格或旧库拼写差异；以所列中文资料和赛事上下文为判断基础。</x:v>
      </x:c>
      <x:c r="J18" s="36" t="n">
        <x:v>4</x:v>
      </x:c>
    </x:row>
    <x:row r="19">
      <x:c r="A19" s="17" t="str">
        <x:v>Chongshang Huang</x:v>
      </x:c>
      <x:c r="B19" s="61" t="str">
        <x:v>黄崇尚</x:v>
      </x:c>
      <x:c r="C19" s="61" t="str">
        <x:v>高</x:v>
      </x:c>
      <x:c r="D19" s="17" t="str">
        <x:v>国内中文名单/报道 + WBF阵容交叉</x:v>
      </x:c>
      <x:c r="E19" s="16" t="str">
        <x:v>WBF登记为“Chongshang Huang”；国内桥牌资讯中出现“黄崇尚”，并用同届比赛、队伍/搭档和活动时间交叉，拼音与中文姓名可形成较唯一对应。</x:v>
      </x:c>
      <x:c r="F19" s="16" t="str">
        <x:v>2026-08-03—2026-08-08｜第9届世界青年跨国锦标赛｜U26 Pairs｜Chongshang Huang – Yuantao Zheng</x:v>
      </x:c>
      <x:c r="G19" s="16" t="str">
        <x:v>https://www.xxbridge.com/M.aspx?m=1913&amp;n=6&amp;r=50&amp;t=2</x:v>
      </x:c>
      <x:c r="H19" s="16" t="str">
        <x:v>https://db.worldbridge.org/Repository/tourn/hefei.26/microsite/Asp/TotalPairs.asp?qtournid=2665&amp;qgroupno=1&amp;qroundno=3</x:v>
      </x:c>
      <x:c r="I19" s="16" t="str">
        <x:v>仍可能存在WBF名序、空格或旧库拼写差异；以所列中文资料和赛事上下文为判断基础。</x:v>
      </x:c>
      <x:c r="J19" s="17" t="n">
        <x:v>1</x:v>
      </x:c>
    </x:row>
    <x:row r="20">
      <x:c r="A20" s="36" t="str">
        <x:v>Chuan Cheng Ju</x:v>
      </x:c>
      <x:c r="B20" s="61" t="str">
        <x:v>鞠传成</x:v>
      </x:c>
      <x:c r="C20" s="61" t="str">
        <x:v>高</x:v>
      </x:c>
      <x:c r="D20" s="36" t="str">
        <x:v>国内中文名单/报道 + WBF阵容交叉</x:v>
      </x:c>
      <x:c r="E20" s="35" t="str">
        <x:v>WBF登记为“Chuan Cheng Ju”；国内桥牌资讯中出现“鞠传成”，并用同届比赛、队伍/搭档和活动时间交叉，拼音与中文姓名可形成较唯一对应。</x:v>
      </x:c>
      <x:c r="F20" s="35" t="str">
        <x:v>2017｜世界桥牌团体锦标赛｜Transnational Open Teams 跨国公开团体｜TRANSNATIONAL TEAM</x:v>
      </x:c>
      <x:c r="G20" s="35" t="str">
        <x:v>https://sports.sina.cn/others/qipai/2020-07-07/detail-iirczymm1038498.d.html?vt=4</x:v>
      </x:c>
      <x:c r="H20" s="35" t="str">
        <x:v>https://www.wbfmasterpoints.com/Medalsreport.asp</x:v>
      </x:c>
      <x:c r="I20" s="35" t="str">
        <x:v>仍可能存在WBF名序、空格或旧库拼写差异；以所列中文资料和赛事上下文为判断基础。</x:v>
      </x:c>
      <x:c r="J20" s="36" t="n">
        <x:v>1</x:v>
      </x:c>
    </x:row>
    <x:row r="21">
      <x:c r="A21" s="17" t="str">
        <x:v>Chujia Pan</x:v>
      </x:c>
      <x:c r="B21" s="78" t="str">
        <x:v>潘楚佳</x:v>
      </x:c>
      <x:c r="C21" s="78" t="str">
        <x:v>低</x:v>
      </x:c>
      <x:c r="D21" s="17" t="str">
        <x:v>仅拼音最佳猜测</x:v>
      </x:c>
      <x:c r="E21" s="16" t="str">
        <x:v>WBF登记为“Chujia Pan”；按姓名拼音与中国姓名常见用字给出“潘楚佳”作为可检索候选。未找到能与同届队伍/搭档闭环的国内中文名单。</x:v>
      </x:c>
      <x:c r="F21" s="16" t="str">
        <x:v>2025-07-12—2025-07-17｜第19届世界青年团体锦标赛｜U26 Women Teams｜CHINA</x:v>
      </x:c>
      <x:c r="G21" s="16" t="str"/>
      <x:c r="H21" s="16" t="str">
        <x:v>https://www.worldbridge.org/2025/07/19th-world-youth-team-championships-the-winners/</x:v>
      </x:c>
      <x:c r="I21" s="16" t="str">
        <x:v>姓氏同音（如 Yu=于/余/俞）及名字同音字均可能；不能视为身份确认。</x:v>
      </x:c>
      <x:c r="J21" s="17" t="n">
        <x:v>1</x:v>
      </x:c>
    </x:row>
    <x:row r="22">
      <x:c r="A22" s="36" t="str">
        <x:v>Chunhui Dong</x:v>
      </x:c>
      <x:c r="B22" s="67" t="str">
        <x:v>董春辉</x:v>
      </x:c>
      <x:c r="C22" s="67" t="str">
        <x:v>中</x:v>
      </x:c>
      <x:c r="D22" s="36" t="str">
        <x:v>赛事时间、队伍/搭档与拼音交叉</x:v>
      </x:c>
      <x:c r="E22" s="35" t="str">
        <x:v>WBF登记为“Chunhui Dong”；结合所列赛事年代、年龄组、队伍/搭档与国内常见写法，最佳候选为“董春辉”。尚缺一份能同时列出英文拼音与中文全名的直接名单。</x:v>
      </x:c>
      <x:c r="F22" s="35" t="str">
        <x:v>2008-10-03—2008-10-18｜第1届世界智力运动会 / 世界桥牌运动会｜U21 Teams 青年团体｜CHINA</x:v>
      </x:c>
      <x:c r="G22" s="35" t="str"/>
      <x:c r="H22" s="35" t="str">
        <x:v>https://db.worldbridge.org/repository/tourn/Beijing.08/Beijing.htm</x:v>
      </x:c>
      <x:c r="I22" s="35" t="str">
        <x:v>汉字可能有同音替代，故标为中确定度；国内资料栏不填，避免把间接报道当成直接证据。</x:v>
      </x:c>
      <x:c r="J22" s="36" t="n">
        <x:v>1</x:v>
      </x:c>
    </x:row>
    <x:row r="23">
      <x:c r="A23" s="17" t="str">
        <x:v>Di Wang</x:v>
      </x:c>
      <x:c r="B23" s="78" t="str">
        <x:v>王迪</x:v>
      </x:c>
      <x:c r="C23" s="78" t="str">
        <x:v>低</x:v>
      </x:c>
      <x:c r="D23" s="17" t="str">
        <x:v>仅拼音最佳猜测</x:v>
      </x:c>
      <x:c r="E23" s="16" t="str">
        <x:v>WBF登记为“Di Wang”；按姓名拼音与中国姓名常见用字给出“王迪”作为可检索候选。未找到能与同届队伍/搭档闭环的国内中文名单。</x:v>
      </x:c>
      <x:c r="F23" s="16" t="str">
        <x:v>2026-08-03—2026-08-08｜第9届世界青年跨国锦标赛｜U16 Teams｜SHANGHAI NTBC TANK</x:v>
      </x:c>
      <x:c r="G23" s="16" t="str"/>
      <x:c r="H23" s="16" t="str">
        <x:v>https://db.worldbridge.org/Repository/tourn/hefei.26/microsite/results.htm</x:v>
      </x:c>
      <x:c r="I23" s="16" t="str">
        <x:v>姓氏同音（如 Yu=于/余/俞）及名字同音字均可能；不能视为身份确认。</x:v>
      </x:c>
      <x:c r="J23" s="17" t="n">
        <x:v>1</x:v>
      </x:c>
    </x:row>
    <x:row r="24">
      <x:c r="A24" s="36" t="str">
        <x:v>Di Zhuo</x:v>
      </x:c>
      <x:c r="B24" s="78" t="str">
        <x:v>卓迪</x:v>
      </x:c>
      <x:c r="C24" s="78" t="str">
        <x:v>低</x:v>
      </x:c>
      <x:c r="D24" s="36" t="str">
        <x:v>仅拼音最佳猜测</x:v>
      </x:c>
      <x:c r="E24" s="35" t="str">
        <x:v>WBF登记为“Di Zhuo”；按姓名拼音与中国姓名常见用字给出“卓迪”作为可检索候选。未找到能与同届队伍/搭档闭环的国内中文名单。</x:v>
      </x:c>
      <x:c r="F24" s="35" t="str">
        <x:v>2010-10｜世界青年团体锦标赛｜U26 Teams｜CHINA</x:v>
      </x:c>
      <x:c r="G24" s="35" t="str"/>
      <x:c r="H24" s="35" t="str">
        <x:v>https://www.worldbridge.org/competitions/the-world-youth-team-championships/</x:v>
      </x:c>
      <x:c r="I24" s="35" t="str">
        <x:v>姓氏同音（如 Yu=于/余/俞）及名字同音字均可能；不能视为身份确认。</x:v>
      </x:c>
      <x:c r="J24" s="36" t="n">
        <x:v>1</x:v>
      </x:c>
    </x:row>
    <x:row r="25">
      <x:c r="A25" s="17" t="str">
        <x:v>Dongke Fang</x:v>
      </x:c>
      <x:c r="B25" s="61" t="str">
        <x:v>房东柯</x:v>
      </x:c>
      <x:c r="C25" s="61" t="str">
        <x:v>高</x:v>
      </x:c>
      <x:c r="D25" s="17" t="str">
        <x:v>国内中文名单/报道 + WBF阵容交叉</x:v>
      </x:c>
      <x:c r="E25" s="16" t="str">
        <x:v>WBF登记为“Dongke Fang”；国内桥牌资讯中出现“房东柯”，并用同届比赛、队伍/搭档和活动时间交叉，拼音与中文姓名可形成较唯一对应。</x:v>
      </x:c>
      <x:c r="F25" s="16" t="str">
        <x:v>2014-08-13—2014-08-23｜世界青年团体锦标赛｜U16 Teams｜CHINA
2015-08-20—2015-08-29｜第4届世界青年公开锦标赛｜U21 Teams / Youngsters Teams｜CHINA</x:v>
      </x:c>
      <x:c r="G25" s="16" t="str">
        <x:v>https://www.chinanews.com/ty/2015/04-01/7177669.shtml</x:v>
      </x:c>
      <x:c r="H25" s="16" t="str">
        <x:v>https://www.worldbridge.org/competitions/the-world-youth-team-championships/
https://db.worldbridge.org/repository/tourn/opatija.15/Microsite/Results.htm</x:v>
      </x:c>
      <x:c r="I25" s="16" t="str">
        <x:v>仍可能存在WBF名序、空格或旧库拼写差异；以所列中文资料和赛事上下文为判断基础。</x:v>
      </x:c>
      <x:c r="J25" s="17" t="n">
        <x:v>2</x:v>
      </x:c>
    </x:row>
    <x:row r="26">
      <x:c r="A26" s="36" t="str">
        <x:v>Enzong Wu</x:v>
      </x:c>
      <x:c r="B26" s="61" t="str">
        <x:v>吴恩宗</x:v>
      </x:c>
      <x:c r="C26" s="61" t="str">
        <x:v>高</x:v>
      </x:c>
      <x:c r="D26" s="36" t="str">
        <x:v>国内中文名单/报道 + WBF阵容交叉</x:v>
      </x:c>
      <x:c r="E26" s="35" t="str">
        <x:v>WBF登记为“Enzong Wu”；国内桥牌资讯中出现“吴恩宗”，并用同届比赛、队伍/搭档和活动时间交叉，拼音与中文姓名可形成较唯一对应。</x:v>
      </x:c>
      <x:c r="F26" s="35" t="str">
        <x:v>2026-08-03—2026-08-08｜第9届世界青年跨国锦标赛｜U31 Teams｜AGOOFANS</x:v>
      </x:c>
      <x:c r="G26" s="35" t="str">
        <x:v>https://www.xxbridge.com/M.aspx?m=1913&amp;n=6&amp;r=50&amp;t=2</x:v>
      </x:c>
      <x:c r="H26" s="35" t="str">
        <x:v>https://db.worldbridge.org/Repository/tourn/hefei.26/microsite/results.htm</x:v>
      </x:c>
      <x:c r="I26" s="35" t="str">
        <x:v>仍可能存在WBF名序、空格或旧库拼写差异；以所列中文资料和赛事上下文为判断基础。</x:v>
      </x:c>
      <x:c r="J26" s="36" t="n">
        <x:v>1</x:v>
      </x:c>
    </x:row>
    <x:row r="27">
      <x:c r="A27" s="17" t="str">
        <x:v>Fanfei Yu</x:v>
      </x:c>
      <x:c r="B27" s="61" t="str">
        <x:v>于凡非</x:v>
      </x:c>
      <x:c r="C27" s="61" t="str">
        <x:v>高</x:v>
      </x:c>
      <x:c r="D27" s="17" t="str">
        <x:v>国内中文名单/报道 + WBF阵容交叉</x:v>
      </x:c>
      <x:c r="E27" s="16" t="str">
        <x:v>WBF登记为“Fanfei Yu”；国内桥牌资讯中出现“于凡非”，并用同届比赛、队伍/搭档和活动时间交叉，拼音与中文姓名可形成较唯一对应。</x:v>
      </x:c>
      <x:c r="F27" s="16" t="str">
        <x:v>2019-08-20—2019-08-29｜第6届世界青年公开锦标赛｜U16 Teams｜SXMARS</x:v>
      </x:c>
      <x:c r="G27" s="16" t="str">
        <x:v>https://sports.sina.cn/others/qipai/2020-07-07/detail-iirczymm1038498.d.html?vt=4</x:v>
      </x:c>
      <x:c r="H27" s="16" t="str">
        <x:v>https://www.worldbridge.org/2019/08/6th-world-youth-open-championships-the-teams-and-bam-winners/</x:v>
      </x:c>
      <x:c r="I27" s="16" t="str">
        <x:v>仍可能存在WBF名序、空格或旧库拼写差异；以所列中文资料和赛事上下文为判断基础。</x:v>
      </x:c>
      <x:c r="J27" s="17" t="n">
        <x:v>1</x:v>
      </x:c>
    </x:row>
    <x:row r="28">
      <x:c r="A28" s="36" t="str">
        <x:v>Fangchen Zhao</x:v>
      </x:c>
      <x:c r="B28" s="61" t="str">
        <x:v>赵芳宸</x:v>
      </x:c>
      <x:c r="C28" s="61" t="str">
        <x:v>高</x:v>
      </x:c>
      <x:c r="D28" s="36" t="str">
        <x:v>国内中文名单/报道 + WBF阵容交叉</x:v>
      </x:c>
      <x:c r="E28" s="35" t="str">
        <x:v>WBF登记为“Fangchen Zhao”；国内桥牌资讯中出现“赵芳宸”，并用同届比赛、队伍/搭档和活动时间交叉，拼音与中文姓名可形成较唯一对应。</x:v>
      </x:c>
      <x:c r="F28" s="35" t="str">
        <x:v>2017-08-15—2017-08-24｜第5届世界青年公开锦标赛｜U16 Teams / Kids Teams｜CHINA RDFZ GALAXY</x:v>
      </x:c>
      <x:c r="G28" s="35" t="str">
        <x:v>https://sports.sina.cn/others/qipai/2020-07-07/detail-iirczymm1038498.d.html?vt=4</x:v>
      </x:c>
      <x:c r="H28" s="35" t="str">
        <x:v>https://www.worldbridge.org/competitions/the-world-youth-transnational-bridge-championships/</x:v>
      </x:c>
      <x:c r="I28" s="35" t="str">
        <x:v>仍可能存在WBF名序、空格或旧库拼写差异；以所列中文资料和赛事上下文为判断基础。</x:v>
      </x:c>
      <x:c r="J28" s="36" t="n">
        <x:v>1</x:v>
      </x:c>
    </x:row>
    <x:row r="29">
      <x:c r="A29" s="17" t="str">
        <x:v>Felicia Yu</x:v>
      </x:c>
      <x:c r="B29" s="80" t="str"/>
      <x:c r="C29" s="80" t="str">
        <x:v>空白</x:v>
      </x:c>
      <x:c r="D29" s="17" t="str">
        <x:v>无法可靠推断</x:v>
      </x:c>
      <x:c r="E29" s="16" t="str">
        <x:v>WBF登记为“Felicia Yu”；现有公开资料不足以在多个中文写法之间做可靠选择，因此留空。</x:v>
      </x:c>
      <x:c r="F29" s="16" t="str">
        <x:v>2013｜第3届世界青年公开锦标赛｜U21 Teams / Youngsters Teams｜CHINA XNWY</x:v>
      </x:c>
      <x:c r="G29" s="16" t="str"/>
      <x:c r="H29" s="16" t="str">
        <x:v>https://www.worldbridge.org/competitions/the-world-youth-transnational-bridge-championships/the-u21-teams/</x:v>
      </x:c>
      <x:c r="I29" s="16" t="str">
        <x:v>可能含英文名、昵称、旧库拼写或多组同音汉字。</x:v>
      </x:c>
      <x:c r="J29" s="17" t="n">
        <x:v>1</x:v>
      </x:c>
    </x:row>
    <x:row r="30">
      <x:c r="A30" s="36" t="str">
        <x:v>Guangli Wendy Liu</x:v>
      </x:c>
      <x:c r="B30" s="80" t="str"/>
      <x:c r="C30" s="80" t="str">
        <x:v>空白</x:v>
      </x:c>
      <x:c r="D30" s="36" t="str">
        <x:v>无法可靠推断</x:v>
      </x:c>
      <x:c r="E30" s="35" t="str">
        <x:v>WBF登记为“Guangli Wendy Liu”；现有公开资料不足以在多个中文写法之间做可靠选择，因此留空。</x:v>
      </x:c>
      <x:c r="F30" s="35" t="str">
        <x:v>2015-08-20—2015-08-29｜第4届世界青年公开锦标赛｜U26 Women Teams / Girls Teams｜CHINA RDFZ GIRLS</x:v>
      </x:c>
      <x:c r="G30" s="35" t="str"/>
      <x:c r="H30" s="35" t="str">
        <x:v>https://db.worldbridge.org/Repository/tourn/Opatija.15/Microsite/Results.htm</x:v>
      </x:c>
      <x:c r="I30" s="35" t="str">
        <x:v>可能含英文名、昵称、旧库拼写或多组同音汉字。</x:v>
      </x:c>
      <x:c r="J30" s="36" t="n">
        <x:v>1</x:v>
      </x:c>
    </x:row>
    <x:row r="31">
      <x:c r="A31" s="17" t="str">
        <x:v>Guofang Xin</x:v>
      </x:c>
      <x:c r="B31" s="67" t="str">
        <x:v>辛国芳</x:v>
      </x:c>
      <x:c r="C31" s="67" t="str">
        <x:v>中</x:v>
      </x:c>
      <x:c r="D31" s="17" t="str">
        <x:v>赛事时间、队伍/搭档与拼音交叉</x:v>
      </x:c>
      <x:c r="E31" s="16" t="str">
        <x:v>WBF登记为“Guofang Xin”；结合所列赛事年代、年龄组、队伍/搭档与国内常见写法，最佳候选为“辛国芳”。尚缺一份能同时列出英文拼音与中文全名的直接名单。</x:v>
      </x:c>
      <x:c r="F31" s="16" t="str">
        <x:v>2019-09｜世界桥牌团体锦标赛｜Transnational Open Teams 跨国公开团体｜CHINA</x:v>
      </x:c>
      <x:c r="G31" s="16" t="str"/>
      <x:c r="H31" s="16" t="str">
        <x:v>https://www.wbfmasterpoints.com/Medalsreport.asp</x:v>
      </x:c>
      <x:c r="I31" s="16" t="str">
        <x:v>汉字可能有同音替代，故标为中确定度；国内资料栏不填，避免把间接报道当成直接证据。</x:v>
      </x:c>
      <x:c r="J31" s="17" t="n">
        <x:v>1</x:v>
      </x:c>
    </x:row>
    <x:row r="32">
      <x:c r="A32" s="36" t="str">
        <x:v>Hanting Wang</x:v>
      </x:c>
      <x:c r="B32" s="78" t="str">
        <x:v>王涵婷</x:v>
      </x:c>
      <x:c r="C32" s="78" t="str">
        <x:v>低</x:v>
      </x:c>
      <x:c r="D32" s="36" t="str">
        <x:v>仅拼音最佳猜测</x:v>
      </x:c>
      <x:c r="E32" s="35" t="str">
        <x:v>WBF登记为“Hanting Wang”；按姓名拼音与中国姓名常见用字给出“王涵婷”作为可检索候选。未找到能与同届队伍/搭档闭环的国内中文名单。</x:v>
      </x:c>
      <x:c r="F32" s="35" t="str">
        <x:v>2026-08-03—2026-08-08｜第9届世界青年跨国锦标赛｜U21 Teams｜CHINA RDFZ BAXI</x:v>
      </x:c>
      <x:c r="G32" s="35" t="str"/>
      <x:c r="H32" s="35" t="str">
        <x:v>https://db.worldbridge.org/Repository/tourn/hefei.26/microsite/results.htm</x:v>
      </x:c>
      <x:c r="I32" s="35" t="str">
        <x:v>姓氏同音（如 Yu=于/余/俞）及名字同音字均可能；不能视为身份确认。</x:v>
      </x:c>
      <x:c r="J32" s="36" t="n">
        <x:v>1</x:v>
      </x:c>
    </x:row>
    <x:row r="33">
      <x:c r="A33" s="17" t="str">
        <x:v>Hanxi Ma</x:v>
      </x:c>
      <x:c r="B33" s="78" t="str">
        <x:v>马涵曦</x:v>
      </x:c>
      <x:c r="C33" s="78" t="str">
        <x:v>低</x:v>
      </x:c>
      <x:c r="D33" s="17" t="str">
        <x:v>仅拼音最佳猜测</x:v>
      </x:c>
      <x:c r="E33" s="16" t="str">
        <x:v>WBF登记为“Hanxi Ma”；按姓名拼音与中国姓名常见用字给出“马涵曦”作为可检索候选。未找到能与同届队伍/搭档闭环的国内中文名单。</x:v>
      </x:c>
      <x:c r="F33" s="16" t="str">
        <x:v>2024-07-13—2024-07-18｜第8届世界青年跨国锦标赛｜U21 Teams｜RDFZ B (CHN/USA)
2026-08-03—2026-08-08｜第9届世界青年跨国锦标赛｜U26 Teams｜REIGNWOOD JUNIORS</x:v>
      </x:c>
      <x:c r="G33" s="16" t="str"/>
      <x:c r="H33" s="16" t="str">
        <x:v>https://championships.worldbridge.org/8th-world-youth-transnational-championships
https://db.worldbridge.org/Repository/tourn/hefei.26/microsite/results.htm</x:v>
      </x:c>
      <x:c r="I33" s="16" t="str">
        <x:v>姓氏同音（如 Yu=于/余/俞）及名字同音字均可能；不能视为身份确认。</x:v>
      </x:c>
      <x:c r="J33" s="17" t="n">
        <x:v>2</x:v>
      </x:c>
    </x:row>
    <x:row r="34">
      <x:c r="A34" s="36" t="str">
        <x:v>Hanxiao Li</x:v>
      </x:c>
      <x:c r="B34" s="67" t="str">
        <x:v>李含笑</x:v>
      </x:c>
      <x:c r="C34" s="67" t="str">
        <x:v>中</x:v>
      </x:c>
      <x:c r="D34" s="36" t="str">
        <x:v>赛事时间、队伍/搭档与拼音交叉</x:v>
      </x:c>
      <x:c r="E34" s="35" t="str">
        <x:v>WBF登记为“Hanxiao Li”；结合所列赛事年代、年龄组、队伍/搭档与国内常见写法，最佳候选为“李含笑”。尚缺一份能同时列出英文拼音与中文全名的直接名单。</x:v>
      </x:c>
      <x:c r="F34" s="35" t="str">
        <x:v>2014-08-13—2014-08-23｜世界青年团体锦标赛｜U26 Women Teams｜CHINA</x:v>
      </x:c>
      <x:c r="G34" s="35" t="str"/>
      <x:c r="H34" s="35" t="str">
        <x:v>https://www.worldbridge.org/competitions/the-world-youth-team-championships/</x:v>
      </x:c>
      <x:c r="I34" s="35" t="str">
        <x:v>汉字可能有同音替代，故标为中确定度；国内资料栏不填，避免把间接报道当成直接证据。</x:v>
      </x:c>
      <x:c r="J34" s="36" t="n">
        <x:v>1</x:v>
      </x:c>
    </x:row>
    <x:row r="35">
      <x:c r="A35" s="17" t="str">
        <x:v>Hanyang Dai</x:v>
      </x:c>
      <x:c r="B35" s="78" t="str">
        <x:v>戴涵洋</x:v>
      </x:c>
      <x:c r="C35" s="78" t="str">
        <x:v>低</x:v>
      </x:c>
      <x:c r="D35" s="17" t="str">
        <x:v>仅拼音最佳猜测</x:v>
      </x:c>
      <x:c r="E35" s="16" t="str">
        <x:v>WBF登记为“Hanyang Dai”；按姓名拼音与中国姓名常见用字给出“戴涵洋”作为可检索候选。未找到能与同届队伍/搭档闭环的国内中文名单。</x:v>
      </x:c>
      <x:c r="F35" s="16" t="str">
        <x:v>2015-08-20—2015-08-29｜第4届世界青年公开锦标赛｜U16 Teams / Kids Teams｜SX XNWY
2019-08-20—2019-08-29｜第6届世界青年公开锦标赛｜Youth BAM｜SXNEBULA</x:v>
      </x:c>
      <x:c r="G35" s="16" t="str"/>
      <x:c r="H35" s="16" t="str">
        <x:v>https://www.worldbridge.org/competitions/the-world-youth-transnational-bridge-championships/
https://www.worldbridge.org/2019/08/6th-world-youth-open-championships-the-teams-and-bam-winners/</x:v>
      </x:c>
      <x:c r="I35" s="16" t="str">
        <x:v>姓氏同音（如 Yu=于/余/俞）及名字同音字均可能；不能视为身份确认。</x:v>
      </x:c>
      <x:c r="J35" s="17" t="n">
        <x:v>2</x:v>
      </x:c>
    </x:row>
    <x:row r="36">
      <x:c r="A36" s="36" t="str">
        <x:v>Hao Xu</x:v>
      </x:c>
      <x:c r="B36" s="78" t="str">
        <x:v>徐浩</x:v>
      </x:c>
      <x:c r="C36" s="78" t="str">
        <x:v>低</x:v>
      </x:c>
      <x:c r="D36" s="36" t="str">
        <x:v>仅拼音最佳猜测</x:v>
      </x:c>
      <x:c r="E36" s="35" t="str">
        <x:v>WBF登记为“Hao Xu”；按姓名拼音与中国姓名常见用字给出“徐浩”作为可检索候选。未找到能与同届队伍/搭档闭环的国内中文名单。</x:v>
      </x:c>
      <x:c r="F36" s="35" t="str">
        <x:v>2017-08-15—2017-08-24｜第5届世界青年公开锦标赛｜U16 BAM｜SHENGXING SATURN
2017-08-15—2017-08-24｜第5届世界青年公开锦标赛｜U16 Teams / Kids Teams｜SHENGXING SATURN
2019-08-20—2019-08-29｜第6届世界青年公开锦标赛｜Youth BAM｜SXNEBULA</x:v>
      </x:c>
      <x:c r="G36" s="35" t="str"/>
      <x:c r="H36" s="35" t="str">
        <x:v>https://www.worldbridge.org/competitions/the-world-youth-transnational-bridge-championships/
https://www.worldbridge.org/2019/08/6th-world-youth-open-championships-the-teams-and-bam-winners/</x:v>
      </x:c>
      <x:c r="I36" s="35" t="str">
        <x:v>姓氏同音（如 Yu=于/余/俞）及名字同音字均可能；不能视为身份确认。</x:v>
      </x:c>
      <x:c r="J36" s="36" t="n">
        <x:v>3</x:v>
      </x:c>
    </x:row>
    <x:row r="37">
      <x:c r="A37" s="17" t="str">
        <x:v>Haochen Hu</x:v>
      </x:c>
      <x:c r="B37" s="78" t="str">
        <x:v>胡皓宸</x:v>
      </x:c>
      <x:c r="C37" s="78" t="str">
        <x:v>低</x:v>
      </x:c>
      <x:c r="D37" s="17" t="str">
        <x:v>仅拼音最佳猜测</x:v>
      </x:c>
      <x:c r="E37" s="16" t="str">
        <x:v>WBF登记为“Haochen Hu”；按姓名拼音与中国姓名常见用字给出“胡皓宸”作为可检索候选。未找到能与同届队伍/搭档闭环的国内中文名单。</x:v>
      </x:c>
      <x:c r="F37" s="16" t="str">
        <x:v>2025-07-12—2025-07-17｜第19届世界青年团体锦标赛｜U16 BAM｜CHINA</x:v>
      </x:c>
      <x:c r="G37" s="16" t="str"/>
      <x:c r="H37" s="16" t="str">
        <x:v>https://www.worldbridge.org/2025/07/19th-world-youth-team-championships-the-winners/</x:v>
      </x:c>
      <x:c r="I37" s="16" t="str">
        <x:v>姓氏同音（如 Yu=于/余/俞）及名字同音字均可能；不能视为身份确认。</x:v>
      </x:c>
      <x:c r="J37" s="17" t="n">
        <x:v>1</x:v>
      </x:c>
    </x:row>
    <x:row r="38">
      <x:c r="A38" s="36" t="str">
        <x:v>Haochen Liu</x:v>
      </x:c>
      <x:c r="B38" s="78" t="str">
        <x:v>刘皓宸</x:v>
      </x:c>
      <x:c r="C38" s="78" t="str">
        <x:v>低</x:v>
      </x:c>
      <x:c r="D38" s="36" t="str">
        <x:v>仅拼音最佳猜测</x:v>
      </x:c>
      <x:c r="E38" s="35" t="str">
        <x:v>WBF登记为“Haochen Liu”；按姓名拼音与中国姓名常见用字给出“刘皓宸”作为可检索候选。未找到能与同届队伍/搭档闭环的国内中文名单。</x:v>
      </x:c>
      <x:c r="F38" s="35" t="str">
        <x:v>2017-08-15—2017-08-24｜第5届世界青年公开锦标赛｜U16 BAM｜SHENGXING VENUS
2017-08-15—2017-08-24｜第5届世界青年公开锦标赛｜U16 Teams / Kids Teams｜SHENGXING VENUS
2026-08-03—2026-08-08｜第9届世界青年跨国锦标赛｜U31 Teams｜CHINA U31</x:v>
      </x:c>
      <x:c r="G38" s="35" t="str"/>
      <x:c r="H38" s="35" t="str">
        <x:v>https://www.worldbridge.org/competitions/the-world-youth-transnational-bridge-championships/
https://db.worldbridge.org/Repository/tourn/hefei.26/microsite/results.htm</x:v>
      </x:c>
      <x:c r="I38" s="35" t="str">
        <x:v>姓氏同音（如 Yu=于/余/俞）及名字同音字均可能；不能视为身份确认。</x:v>
      </x:c>
      <x:c r="J38" s="36" t="n">
        <x:v>3</x:v>
      </x:c>
    </x:row>
    <x:row r="39">
      <x:c r="A39" s="17" t="str">
        <x:v>Haojun Shi</x:v>
      </x:c>
      <x:c r="B39" s="61" t="str">
        <x:v>施豪军</x:v>
      </x:c>
      <x:c r="C39" s="61" t="str">
        <x:v>高</x:v>
      </x:c>
      <x:c r="D39" s="17" t="str">
        <x:v>国内中文名单/报道 + WBF阵容交叉</x:v>
      </x:c>
      <x:c r="E39" s="16" t="str">
        <x:v>WBF登记为“Haojun Shi”；国内桥牌资讯中出现“施豪军”，并用同届比赛、队伍/搭档和活动时间交叉，拼音与中文姓名可形成较唯一对应。</x:v>
      </x:c>
      <x:c r="F39" s="16" t="str">
        <x:v>2003｜世界桥牌团体锦标赛｜Transnational Open Teams 跨国公开团体｜CHINA</x:v>
      </x:c>
      <x:c r="G39" s="16" t="str">
        <x:v>https://zqb.cyol.com/content/2003-11/17/content_771888.htm</x:v>
      </x:c>
      <x:c r="H39" s="16" t="str">
        <x:v>https://www.wbfmasterpoints.com/Medalsreport.asp</x:v>
      </x:c>
      <x:c r="I39" s="16" t="str">
        <x:v>仍可能存在WBF名序、空格或旧库拼写差异；以所列中文资料和赛事上下文为判断基础。</x:v>
      </x:c>
      <x:c r="J39" s="17" t="n">
        <x:v>1</x:v>
      </x:c>
    </x:row>
    <x:row r="40">
      <x:c r="A40" s="36" t="str">
        <x:v>Haoqing Yu</x:v>
      </x:c>
      <x:c r="B40" s="78" t="str">
        <x:v>于昊晴</x:v>
      </x:c>
      <x:c r="C40" s="78" t="str">
        <x:v>低</x:v>
      </x:c>
      <x:c r="D40" s="36" t="str">
        <x:v>仅拼音最佳猜测</x:v>
      </x:c>
      <x:c r="E40" s="35" t="str">
        <x:v>WBF登记为“Haoqing Yu”；按姓名拼音与中国姓名常见用字给出“于昊晴”作为可检索候选。未找到能与同届队伍/搭档闭环的国内中文名单。</x:v>
      </x:c>
      <x:c r="F40" s="35" t="str">
        <x:v>2015-08-20—2015-08-29｜第4届世界青年公开锦标赛｜U16 Teams / Kids Teams｜CHINA RDFZ1
2017-08-15—2017-08-24｜第5届世界青年公开锦标赛｜U21 Teams / Youngsters Teams｜CHINA</x:v>
      </x:c>
      <x:c r="G40" s="35" t="str"/>
      <x:c r="H40" s="35" t="str">
        <x:v>https://www.worldbridge.org/competitions/the-world-youth-transnational-bridge-championships/
https://db.worldbridge.org/repository/tourn/lyonyouth.17/microsite/results.htm</x:v>
      </x:c>
      <x:c r="I40" s="35" t="str">
        <x:v>姓氏同音（如 Yu=于/余/俞）及名字同音字均可能；不能视为身份确认。</x:v>
      </x:c>
      <x:c r="J40" s="36" t="n">
        <x:v>2</x:v>
      </x:c>
    </x:row>
    <x:row r="41">
      <x:c r="A41" s="17" t="str">
        <x:v>Haoran Wang</x:v>
      </x:c>
      <x:c r="B41" s="78" t="str">
        <x:v>王浩然</x:v>
      </x:c>
      <x:c r="C41" s="78" t="str">
        <x:v>低</x:v>
      </x:c>
      <x:c r="D41" s="17" t="str">
        <x:v>仅拼音最佳猜测</x:v>
      </x:c>
      <x:c r="E41" s="16" t="str">
        <x:v>WBF登记为“Haoran Wang”；按姓名拼音与中国姓名常见用字给出“王浩然”作为可检索候选。未找到能与同届队伍/搭档闭环的国内中文名单。</x:v>
      </x:c>
      <x:c r="F41" s="16" t="str">
        <x:v>2023-07-31—2023-08-07｜第18届世界青年团体锦标赛｜U16 BAM｜CHINA</x:v>
      </x:c>
      <x:c r="G41" s="16" t="str"/>
      <x:c r="H41"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c r="I41" s="16" t="str">
        <x:v>姓氏同音（如 Yu=于/余/俞）及名字同音字均可能；不能视为身份确认。</x:v>
      </x:c>
      <x:c r="J41" s="17" t="n">
        <x:v>1</x:v>
      </x:c>
    </x:row>
    <x:row r="42">
      <x:c r="A42" s="36" t="str">
        <x:v>Haotian Shen</x:v>
      </x:c>
      <x:c r="B42" s="61" t="str">
        <x:v>沈皓天</x:v>
      </x:c>
      <x:c r="C42" s="61" t="str">
        <x:v>高</x:v>
      </x:c>
      <x:c r="D42" s="36" t="str">
        <x:v>国内中文名单/报道 + WBF阵容交叉</x:v>
      </x:c>
      <x:c r="E42" s="35" t="str">
        <x:v>WBF登记为“Haotian Shen”；国内桥牌资讯中出现“沈皓天”，并用同届比赛、队伍/搭档和活动时间交叉，拼音与中文姓名可形成较唯一对应。</x:v>
      </x:c>
      <x:c r="F42" s="35" t="str">
        <x:v>2019-08-20—2019-08-29｜第6届世界青年公开锦标赛｜U16 Teams｜SXMARS</x:v>
      </x:c>
      <x:c r="G42" s="35" t="str">
        <x:v>https://sports.sina.cn/others/qipai/2020-07-07/detail-iirczymm1038498.d.html?vt=4</x:v>
      </x:c>
      <x:c r="H42" s="35" t="str">
        <x:v>https://www.worldbridge.org/2019/08/6th-world-youth-open-championships-the-teams-and-bam-winners/</x:v>
      </x:c>
      <x:c r="I42" s="35" t="str">
        <x:v>仍可能存在WBF名序、空格或旧库拼写差异；以所列中文资料和赛事上下文为判断基础。</x:v>
      </x:c>
      <x:c r="J42" s="36" t="n">
        <x:v>1</x:v>
      </x:c>
    </x:row>
    <x:row r="43">
      <x:c r="A43" s="17" t="str">
        <x:v>Haoxuan Yu</x:v>
      </x:c>
      <x:c r="B43" s="78" t="str">
        <x:v>俞昊轩</x:v>
      </x:c>
      <x:c r="C43" s="78" t="str">
        <x:v>低</x:v>
      </x:c>
      <x:c r="D43" s="17" t="str">
        <x:v>仅拼音最佳猜测</x:v>
      </x:c>
      <x:c r="E43" s="16" t="str">
        <x:v>WBF登记为“Haoxuan Yu”；按姓名拼音与中国姓名常见用字给出“俞昊轩”作为可检索候选。未找到能与同届队伍/搭档闭环的国内中文名单。</x:v>
      </x:c>
      <x:c r="F43" s="16" t="str">
        <x:v>2023-07-31—2023-08-07｜第18届世界青年团体锦标赛｜U16 BAM｜CHINA</x:v>
      </x:c>
      <x:c r="G43" s="16" t="str"/>
      <x:c r="H43"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c r="I43" s="16" t="str">
        <x:v>姓氏同音（如 Yu=于/余/俞）及名字同音字均可能；不能视为身份确认。</x:v>
      </x:c>
      <x:c r="J43" s="17" t="n">
        <x:v>1</x:v>
      </x:c>
    </x:row>
    <x:row r="44">
      <x:c r="A44" s="36" t="str">
        <x:v>Hongbin Su</x:v>
      </x:c>
      <x:c r="B44" s="78" t="str">
        <x:v>苏红斌</x:v>
      </x:c>
      <x:c r="C44" s="78" t="str">
        <x:v>低</x:v>
      </x:c>
      <x:c r="D44" s="36" t="str">
        <x:v>仅拼音最佳猜测</x:v>
      </x:c>
      <x:c r="E44" s="35" t="str">
        <x:v>WBF登记为“Hongbin Su”；按姓名拼音与中国姓名常见用字给出“苏红斌”作为可检索候选。未找到能与同届队伍/搭档闭环的国内中文名单。</x:v>
      </x:c>
      <x:c r="F44" s="35" t="str">
        <x:v>2019-09｜世界桥牌团体锦标赛｜Transnational Open Teams 跨国公开团体｜CHINA</x:v>
      </x:c>
      <x:c r="G44" s="35" t="str"/>
      <x:c r="H44" s="35" t="str">
        <x:v>https://www.wbfmasterpoints.com/Medalsreport.asp</x:v>
      </x:c>
      <x:c r="I44" s="35" t="str">
        <x:v>姓氏同音（如 Yu=于/余/俞）及名字同音字均可能；不能视为身份确认。</x:v>
      </x:c>
      <x:c r="J44" s="36" t="n">
        <x:v>1</x:v>
      </x:c>
    </x:row>
    <x:row r="45">
      <x:c r="A45" s="17" t="str">
        <x:v>Hongji Wei</x:v>
      </x:c>
      <x:c r="B45" s="61" t="str">
        <x:v>魏宏济</x:v>
      </x:c>
      <x:c r="C45" s="61" t="str">
        <x:v>高</x:v>
      </x:c>
      <x:c r="D45" s="17" t="str">
        <x:v>国内中文名单/报道 + WBF阵容交叉</x:v>
      </x:c>
      <x:c r="E45" s="16" t="str">
        <x:v>WBF登记为“Hongji Wei”；国内桥牌资讯中出现“魏宏济”，并用同届比赛、队伍/搭档和活动时间交叉，拼音与中文姓名可形成较唯一对应。</x:v>
      </x:c>
      <x:c r="F45" s="16" t="str">
        <x:v>2015-08-20—2015-08-29｜第4届世界青年公开锦标赛｜U21 Pairs｜Hongji Wei – Shiyu Sun
2015-08-20—2015-08-29｜第4届世界青年公开锦标赛｜U21 Teams / Youngsters Teams｜CHINA
2016-08-03—2016-08-13｜世界青年团体锦标赛｜U26 Teams｜CHINA
2019-08-20—2019-08-29｜第6届世界青年公开锦标赛｜U26 Pairs｜Hongji Wei – Shiyu Sun</x:v>
      </x:c>
      <x:c r="G45" s="16" t="str">
        <x:v>https://www.chinanews.com/ty/2015/04-01/7177669.shtml</x:v>
      </x:c>
      <x:c r="H45" s="16" t="str">
        <x:v>https://www.worldbridge.org/competitions/the-world-youth-transnational-bridge-championships/
https://db.worldbridge.org/repository/tourn/opatija.15/Microsite/Results.htm
https://www.worldbridge.org/competitions/the-world-youth-team-championships/
https://www.worldbridge.org/2019/08/6th-world-youth-open-championships-the-pairs-winners/</x:v>
      </x:c>
      <x:c r="I45" s="16" t="str">
        <x:v>仍可能存在WBF名序、空格或旧库拼写差异；以所列中文资料和赛事上下文为判断基础。</x:v>
      </x:c>
      <x:c r="J45" s="17" t="n">
        <x:v>4</x:v>
      </x:c>
    </x:row>
    <x:row r="46">
      <x:c r="A46" s="36" t="str">
        <x:v>Hongli Wang</x:v>
      </x:c>
      <x:c r="B46" s="61" t="str">
        <x:v>王宏利</x:v>
      </x:c>
      <x:c r="C46" s="61" t="str">
        <x:v>高</x:v>
      </x:c>
      <x:c r="D46" s="36" t="str">
        <x:v>国内中文名单/报道 + WBF阵容交叉</x:v>
      </x:c>
      <x:c r="E46" s="35" t="str">
        <x:v>WBF登记为“Hongli Wang”；国内桥牌资讯中出现“王宏利”，并用同届比赛、队伍/搭档和活动时间交叉，拼音与中文姓名可形成较唯一对应。</x:v>
      </x:c>
      <x:c r="F46" s="35" t="str">
        <x:v>1996｜世界桥牌团体奥林匹克赛｜女子团体｜CHINA
2003｜世界桥牌团体锦标赛｜Venice Cup 女子团体｜CHINA
2006-06｜世界桥牌综合锦标赛｜Women Pairs 女子双人｜Hongli Wang – Wen Fei Wang
2007｜世界桥牌团体锦标赛｜Venice Cup 女子团体｜CHINA
另有5条，见个人奖牌榜明细</x:v>
      </x:c>
      <x:c r="G46" s="35" t="str">
        <x:v>https://www.ourgame.com/arranghtml/news7.html</x:v>
      </x:c>
      <x:c r="H46" s="35" t="str">
        <x:v>https://www.wbfmasterpoints.com/Medalsreport.asp
https://db.worldbridge.org/repository/tourn/Beijing.08/Beijing.htm
https://db.worldbridge.org/Repository/tourn/SaoPaulo.09/SaoPaulo.htm</x:v>
      </x:c>
      <x:c r="I46" s="35" t="str">
        <x:v>仍可能存在WBF名序、空格或旧库拼写差异；以所列中文资料和赛事上下文为判断基础。</x:v>
      </x:c>
      <x:c r="J46" s="36" t="n">
        <x:v>9</x:v>
      </x:c>
    </x:row>
    <x:row r="47">
      <x:c r="A47" s="17" t="str">
        <x:v>Huibo Jiang</x:v>
      </x:c>
      <x:c r="B47" s="67" t="str">
        <x:v>姜惠波</x:v>
      </x:c>
      <x:c r="C47" s="67" t="str">
        <x:v>中</x:v>
      </x:c>
      <x:c r="D47" s="17" t="str">
        <x:v>赛事时间、队伍/搭档与拼音交叉</x:v>
      </x:c>
      <x:c r="E47" s="16" t="str">
        <x:v>WBF登记为“Huibo Jiang”；结合所列赛事年代、年龄组、队伍/搭档与国内常见写法，最佳候选为“姜惠波”。尚缺一份能同时列出英文拼音与中文全名的直接名单。</x:v>
      </x:c>
      <x:c r="F47" s="16" t="str">
        <x:v>2019-09｜世界桥牌团体锦标赛｜Transnational Open Teams 跨国公开团体｜CHINA</x:v>
      </x:c>
      <x:c r="G47" s="16" t="str"/>
      <x:c r="H47" s="16" t="str">
        <x:v>https://www.wbfmasterpoints.com/Medalsreport.asp</x:v>
      </x:c>
      <x:c r="I47" s="16" t="str">
        <x:v>汉字可能有同音替代，故标为中确定度；国内资料栏不填，避免把间接报道当成直接证据。</x:v>
      </x:c>
      <x:c r="J47" s="17" t="n">
        <x:v>1</x:v>
      </x:c>
    </x:row>
    <x:row r="48">
      <x:c r="A48" s="36" t="str">
        <x:v>Huiyuan Jin</x:v>
      </x:c>
      <x:c r="B48" s="78" t="str">
        <x:v>金慧媛</x:v>
      </x:c>
      <x:c r="C48" s="78" t="str">
        <x:v>低</x:v>
      </x:c>
      <x:c r="D48" s="36" t="str">
        <x:v>仅拼音最佳猜测</x:v>
      </x:c>
      <x:c r="E48" s="35" t="str">
        <x:v>WBF登记为“Huiyuan Jin”；按姓名拼音与中国姓名常见用字给出“金慧媛”作为可检索候选。未找到能与同届队伍/搭档闭环的国内中文名单。</x:v>
      </x:c>
      <x:c r="F48" s="35" t="str">
        <x:v>2015-08-20—2015-08-29｜第4届世界青年公开锦标赛｜U26 Women Teams / Girls Teams｜SX XHLD</x:v>
      </x:c>
      <x:c r="G48" s="35" t="str"/>
      <x:c r="H48" s="35" t="str">
        <x:v>https://db.worldbridge.org/Repository/tourn/Opatija.15/Microsite/Results.htm</x:v>
      </x:c>
      <x:c r="I48" s="35" t="str">
        <x:v>姓氏同音（如 Yu=于/余/俞）及名字同音字均可能；不能视为身份确认。</x:v>
      </x:c>
      <x:c r="J48" s="36" t="n">
        <x:v>1</x:v>
      </x:c>
    </x:row>
    <x:row r="49">
      <x:c r="A49" s="17" t="str">
        <x:v>Jiahao Yang</x:v>
      </x:c>
      <x:c r="B49" s="78" t="str">
        <x:v>杨嘉豪</x:v>
      </x:c>
      <x:c r="C49" s="78" t="str">
        <x:v>低</x:v>
      </x:c>
      <x:c r="D49" s="17" t="str">
        <x:v>仅拼音最佳猜测</x:v>
      </x:c>
      <x:c r="E49" s="16" t="str">
        <x:v>WBF登记为“Jiahao Yang”；按姓名拼音与中国姓名常见用字给出“杨嘉豪”作为可检索候选。未找到能与同届队伍/搭档闭环的国内中文名单。</x:v>
      </x:c>
      <x:c r="F49" s="16" t="str">
        <x:v>2017-08-15—2017-08-24｜第5届世界青年公开锦标赛｜U16 BAM｜SHENGXING SATURN
2017-08-15—2017-08-24｜第5届世界青年公开锦标赛｜U16 Teams / Kids Teams｜SHENGXING SATURN
2019-08-20—2019-08-29｜第6届世界青年公开锦标赛｜Youth BAM｜SXNEBULA</x:v>
      </x:c>
      <x:c r="G49" s="16" t="str"/>
      <x:c r="H49" s="16" t="str">
        <x:v>https://www.worldbridge.org/competitions/the-world-youth-transnational-bridge-championships/
https://www.worldbridge.org/2019/08/6th-world-youth-open-championships-the-teams-and-bam-winners/</x:v>
      </x:c>
      <x:c r="I49" s="16" t="str">
        <x:v>姓氏同音（如 Yu=于/余/俞）及名字同音字均可能；不能视为身份确认。</x:v>
      </x:c>
      <x:c r="J49" s="17" t="n">
        <x:v>3</x:v>
      </x:c>
    </x:row>
    <x:row r="50">
      <x:c r="A50" s="36" t="str">
        <x:v>Jiahe Shen</x:v>
      </x:c>
      <x:c r="B50" s="78" t="str">
        <x:v>沈嘉禾</x:v>
      </x:c>
      <x:c r="C50" s="78" t="str">
        <x:v>低</x:v>
      </x:c>
      <x:c r="D50" s="36" t="str">
        <x:v>仅拼音最佳猜测</x:v>
      </x:c>
      <x:c r="E50" s="35" t="str">
        <x:v>WBF登记为“Jiahe Shen”；按姓名拼音与中国姓名常见用字给出“沈嘉禾”作为可检索候选。未找到能与同届队伍/搭档闭环的国内中文名单。</x:v>
      </x:c>
      <x:c r="F50" s="35" t="str">
        <x:v>2014-08-13—2014-08-23｜世界青年团体锦标赛｜U16 Teams｜CHINA</x:v>
      </x:c>
      <x:c r="G50" s="35" t="str"/>
      <x:c r="H50" s="35" t="str">
        <x:v>https://www.worldbridge.org/competitions/the-world-youth-team-championships/</x:v>
      </x:c>
      <x:c r="I50" s="35" t="str">
        <x:v>姓氏同音（如 Yu=于/余/俞）及名字同音字均可能；不能视为身份确认。</x:v>
      </x:c>
      <x:c r="J50" s="36" t="n">
        <x:v>1</x:v>
      </x:c>
    </x:row>
    <x:row r="51">
      <x:c r="A51" s="17" t="str">
        <x:v>Jiaming Xu</x:v>
      </x:c>
      <x:c r="B51" s="61" t="str">
        <x:v>徐佳茗</x:v>
      </x:c>
      <x:c r="C51" s="61" t="str">
        <x:v>高</x:v>
      </x:c>
      <x:c r="D51" s="17" t="str">
        <x:v>国内中文名单/报道 + WBF阵容交叉</x:v>
      </x:c>
      <x:c r="E51" s="16" t="str">
        <x:v>WBF登记为“Jiaming Xu”；国内桥牌资讯中出现“徐佳茗”，并用同届比赛、队伍/搭档和活动时间交叉，拼音与中文姓名可形成较唯一对应。</x:v>
      </x:c>
      <x:c r="F51" s="16" t="str">
        <x:v>2017-08-15—2017-08-24｜第5届世界青年公开锦标赛｜U26 Women Pairs / Girls Pairs｜Yunpeng Chen – Jiaming Xu
2017-08-15—2017-08-24｜第5届世界青年公开锦标赛｜U26 Women Teams / Girls Teams｜SHENGXING TEAM 1
2019-08-20—2019-08-29｜第6届世界青年公开锦标赛｜U26 Women Teams｜SXPEONY</x:v>
      </x:c>
      <x:c r="G51" s="16" t="str">
        <x:v>https://sports.sina.cn/others/qipai/2020-07-07/detail-iirczymm1038498.d.html?vt=4</x:v>
      </x:c>
      <x:c r="H51" s="16" t="str">
        <x:v>https://db.worldbridge.org/repository/tourn/lyonyouth.17/microsite/Asp/TotalPairs.asp?qtournid=1456&amp;qroundno=3&amp;qgroupno=1
https://db.worldbridge.org/repository/tourn/lyonyouth.17/microsite/Asp/knockoutphase.asp?qtournid=1460&amp;qphase=FF
https://www.worldbridge.org/2019/08/6th-world-youth-open-championships-the-teams-and-bam-winners/</x:v>
      </x:c>
      <x:c r="I51" s="16" t="str">
        <x:v>仍可能存在WBF名序、空格或旧库拼写差异；以所列中文资料和赛事上下文为判断基础。</x:v>
      </x:c>
      <x:c r="J51" s="17" t="n">
        <x:v>3</x:v>
      </x:c>
    </x:row>
    <x:row r="52">
      <x:c r="A52" s="36" t="str">
        <x:v>Jian Hua Tao</x:v>
      </x:c>
      <x:c r="B52" s="61" t="str">
        <x:v>陶建华</x:v>
      </x:c>
      <x:c r="C52" s="61" t="str">
        <x:v>高</x:v>
      </x:c>
      <x:c r="D52" s="36" t="str">
        <x:v>国内中文名单/报道 + WBF阵容交叉</x:v>
      </x:c>
      <x:c r="E52" s="35" t="str">
        <x:v>WBF登记为“Jian Hua Tao”；国内桥牌资讯中出现“陶建华”，并用同届比赛、队伍/搭档和活动时间交叉，拼音与中文姓名可形成较唯一对应。</x:v>
      </x:c>
      <x:c r="F52" s="35" t="str">
        <x:v>2018｜世界桥牌综合锦标赛｜World Senior Teams 老年团体｜CHINA</x:v>
      </x:c>
      <x:c r="G52" s="35" t="str">
        <x:v>https://sports.sina.cn/others/qipai/2020-07-07/detail-iirczymm1038498.d.html?vt=4</x:v>
      </x:c>
      <x:c r="H52" s="35" t="str">
        <x:v>https://www.wbfmasterpoints.com/Medalsreport.asp</x:v>
      </x:c>
      <x:c r="I52" s="35" t="str">
        <x:v>仍可能存在WBF名序、空格或旧库拼写差异；以所列中文资料和赛事上下文为判断基础。</x:v>
      </x:c>
      <x:c r="J52" s="36" t="n">
        <x:v>1</x:v>
      </x:c>
    </x:row>
    <x:row r="53">
      <x:c r="A53" s="17" t="str">
        <x:v>Jian Ming Dai</x:v>
      </x:c>
      <x:c r="B53" s="61" t="str">
        <x:v>戴建明</x:v>
      </x:c>
      <x:c r="C53" s="61" t="str">
        <x:v>高</x:v>
      </x:c>
      <x:c r="D53" s="17" t="str">
        <x:v>国内中文名单/报道 + WBF阵容交叉</x:v>
      </x:c>
      <x:c r="E53" s="16" t="str">
        <x:v>WBF登记为“Jian Ming Dai”；国内桥牌资讯中出现“戴建明”，并用同届比赛、队伍/搭档和活动时间交叉，拼音与中文姓名可形成较唯一对应。</x:v>
      </x:c>
      <x:c r="F53" s="16" t="str">
        <x:v>2012｜世界桥牌运动会｜Transnational Mixed Teams 跨国混合团体｜CHINA
2013｜世界桥牌团体锦标赛｜Transnational Open Teams 跨国公开团体｜CHINA
2014-10｜世界桥牌综合锦标赛｜Mixed Teams 混合团体｜CHINA
2019-09｜世界桥牌团体锦标赛｜Transnational Open Teams 跨国公开团体｜CHINA</x:v>
      </x:c>
      <x:c r="G53" s="16" t="str">
        <x:v>https://www.ourgame.com/arranghtml/news7.html</x:v>
      </x:c>
      <x:c r="H53" s="16" t="str">
        <x:v>https://www.wbfmasterpoints.com/Medalsreport.asp</x:v>
      </x:c>
      <x:c r="I53" s="16" t="str">
        <x:v>仍可能存在WBF名序、空格或旧库拼写差异；以所列中文资料和赛事上下文为判断基础。</x:v>
      </x:c>
      <x:c r="J53" s="17" t="n">
        <x:v>4</x:v>
      </x:c>
    </x:row>
    <x:row r="54">
      <x:c r="A54" s="36" t="str">
        <x:v>Jian Wang</x:v>
      </x:c>
      <x:c r="B54" s="61" t="str">
        <x:v>王健</x:v>
      </x:c>
      <x:c r="C54" s="61" t="str">
        <x:v>高</x:v>
      </x:c>
      <x:c r="D54" s="36" t="str">
        <x:v>国内中文名单/报道 + WBF阵容交叉</x:v>
      </x:c>
      <x:c r="E54" s="35" t="str">
        <x:v>WBF登记为“Jian Wang”；国内桥牌资讯中出现“王健”，并用同届比赛、队伍/搭档和活动时间交叉，拼音与中文姓名可形成较唯一对应。</x:v>
      </x:c>
      <x:c r="F54" s="35" t="str">
        <x:v>2025-08-20—2025-08-31｜第47届世界桥牌团体锦标赛｜Venice Cup 女子团体｜CHINA</x:v>
      </x:c>
      <x:c r="G54" s="35" t="str">
        <x:v>https://news.qq.com/rain/a/20250828A04GG700</x:v>
      </x:c>
      <x:c r="H54" s="35" t="str">
        <x:v>https://www.worldbridge.org/2025/08/congratulations-to-the-champions/</x:v>
      </x:c>
      <x:c r="I54" s="35" t="str">
        <x:v>仍可能存在WBF名序、空格或旧库拼写差异；以所列中文资料和赛事上下文为判断基础。</x:v>
      </x:c>
      <x:c r="J54" s="36" t="n">
        <x:v>1</x:v>
      </x:c>
    </x:row>
    <x:row r="55">
      <x:c r="A55" s="17" t="str">
        <x:v>Jianqiu Shen</x:v>
      </x:c>
      <x:c r="B55" s="80" t="str"/>
      <x:c r="C55" s="80" t="str">
        <x:v>空白</x:v>
      </x:c>
      <x:c r="D55" s="17" t="str">
        <x:v>无法可靠推断</x:v>
      </x:c>
      <x:c r="E55" s="16" t="str">
        <x:v>WBF登记为“Jianqiu Shen”；现有公开资料不足以在多个中文写法之间做可靠选择，因此留空。</x:v>
      </x:c>
      <x:c r="F55" s="16" t="str">
        <x:v>2012-07-25—2012-08-04｜世界青年团体锦标赛｜U26 Teams｜CHINA</x:v>
      </x:c>
      <x:c r="G55" s="16" t="str"/>
      <x:c r="H55" s="16" t="str">
        <x:v>https://www.worldbridge.org/competitions/the-world-youth-team-championships/</x:v>
      </x:c>
      <x:c r="I55" s="16" t="str">
        <x:v>可能含英文名、昵称、旧库拼写或多组同音汉字。</x:v>
      </x:c>
      <x:c r="J55" s="17" t="n">
        <x:v>1</x:v>
      </x:c>
    </x:row>
    <x:row r="56">
      <x:c r="A56" s="36" t="str">
        <x:v>Jiawen Gu</x:v>
      </x:c>
      <x:c r="B56" s="78" t="str">
        <x:v>顾嘉雯</x:v>
      </x:c>
      <x:c r="C56" s="78" t="str">
        <x:v>低</x:v>
      </x:c>
      <x:c r="D56" s="36" t="str">
        <x:v>仅拼音最佳猜测</x:v>
      </x:c>
      <x:c r="E56" s="35" t="str">
        <x:v>WBF登记为“Jiawen Gu”；按姓名拼音与中国姓名常见用字给出“顾嘉雯”作为可检索候选。未找到能与同届队伍/搭档闭环的国内中文名单。</x:v>
      </x:c>
      <x:c r="F56" s="35" t="str">
        <x:v>2026-08-03—2026-08-08｜第9届世界青年跨国锦标赛｜U31 Teams｜CHINA U31</x:v>
      </x:c>
      <x:c r="G56" s="35" t="str"/>
      <x:c r="H56" s="35" t="str">
        <x:v>https://db.worldbridge.org/Repository/tourn/hefei.26/microsite/results.htm</x:v>
      </x:c>
      <x:c r="I56" s="35" t="str">
        <x:v>姓氏同音（如 Yu=于/余/俞）及名字同音字均可能；不能视为身份确认。</x:v>
      </x:c>
      <x:c r="J56" s="36" t="n">
        <x:v>1</x:v>
      </x:c>
    </x:row>
    <x:row r="57">
      <x:c r="A57" s="17" t="str">
        <x:v>Jiaxin Tong</x:v>
      </x:c>
      <x:c r="B57" s="78" t="str">
        <x:v>童嘉欣</x:v>
      </x:c>
      <x:c r="C57" s="78" t="str">
        <x:v>低</x:v>
      </x:c>
      <x:c r="D57" s="17" t="str">
        <x:v>仅拼音最佳猜测</x:v>
      </x:c>
      <x:c r="E57" s="16" t="str">
        <x:v>WBF登记为“Jiaxin Tong”；按姓名拼音与中国姓名常见用字给出“童嘉欣”作为可检索候选。未找到能与同届队伍/搭档闭环的国内中文名单。</x:v>
      </x:c>
      <x:c r="F57" s="16" t="str">
        <x:v>2015-08-20—2015-08-29｜第4届世界青年公开锦标赛｜U16 Teams / Kids Teams｜SX XNWY
2017-08-15—2017-08-24｜第5届世界青年公开锦标赛｜U21 Teams / Youngsters Teams｜SHENGXING TEAM</x:v>
      </x:c>
      <x:c r="G57" s="16" t="str"/>
      <x:c r="H57" s="16" t="str">
        <x:v>https://www.worldbridge.org/competitions/the-world-youth-transnational-bridge-championships/
https://db.worldbridge.org/repository/tourn/lyonyouth.17/microsite/results.htm</x:v>
      </x:c>
      <x:c r="I57" s="16" t="str">
        <x:v>姓氏同音（如 Yu=于/余/俞）及名字同音字均可能；不能视为身份确认。</x:v>
      </x:c>
      <x:c r="J57" s="17" t="n">
        <x:v>2</x:v>
      </x:c>
    </x:row>
    <x:row r="58">
      <x:c r="A58" s="36" t="str">
        <x:v>Jie Zhao</x:v>
      </x:c>
      <x:c r="B58" s="61" t="str">
        <x:v>赵杰</x:v>
      </x:c>
      <x:c r="C58" s="61" t="str">
        <x:v>高</x:v>
      </x:c>
      <x:c r="D58" s="36" t="str">
        <x:v>国内中文名单/报道 + WBF阵容交叉</x:v>
      </x:c>
      <x:c r="E58" s="35" t="str">
        <x:v>WBF登记为“Jie Zhao”；国内桥牌资讯中出现“赵杰”，并用同届比赛、队伍/搭档和活动时间交叉，拼音与中文姓名可形成较唯一对应。</x:v>
      </x:c>
      <x:c r="F58" s="35" t="str">
        <x:v>2003｜世界桥牌团体锦标赛｜Transnational Open Teams 跨国公开团体｜CHINA
2006-06｜世界桥牌综合锦标赛｜Open Pairs 公开双人｜Zhong Fu – Jie Zhao
2014-10｜世界桥牌综合锦标赛｜Mixed Pairs 混合双人｜Jie Zhao – Kerri Sanborn
2019-09｜世界桥牌团体锦标赛｜Transnational Open Teams 跨国公开团体｜CHINA</x:v>
      </x:c>
      <x:c r="G58" s="35" t="str">
        <x:v>https://www.ourgame.com/arranghtml/news7.html</x:v>
      </x:c>
      <x:c r="H58" s="35" t="str">
        <x:v>https://www.wbfmasterpoints.com/Medalsreport.asp</x:v>
      </x:c>
      <x:c r="I58" s="35" t="str">
        <x:v>仍可能存在WBF名序、空格或旧库拼写差异；以所列中文资料和赛事上下文为判断基础。</x:v>
      </x:c>
      <x:c r="J58" s="36" t="n">
        <x:v>4</x:v>
      </x:c>
    </x:row>
    <x:row r="59">
      <x:c r="A59" s="17" t="str">
        <x:v>Jing Liu</x:v>
      </x:c>
      <x:c r="B59" s="78" t="str">
        <x:v>刘京</x:v>
      </x:c>
      <x:c r="C59" s="78" t="str">
        <x:v>低</x:v>
      </x:c>
      <x:c r="D59" s="17" t="str">
        <x:v>仅拼音最佳猜测</x:v>
      </x:c>
      <x:c r="E59" s="16" t="str">
        <x:v>WBF登记为“Jing Liu”；按姓名拼音与中国姓名常见用字给出“刘京”作为可检索候选。未找到能与同届队伍/搭档闭环的国内中文名单。</x:v>
      </x:c>
      <x:c r="F59" s="16" t="str">
        <x:v>2008-10-03—2008-10-18｜第1届世界智力运动会 / 世界桥牌运动会｜U28 Teams 青年团体｜CHINA</x:v>
      </x:c>
      <x:c r="G59" s="16" t="str"/>
      <x:c r="H59" s="16" t="str">
        <x:v>https://db.worldbridge.org/repository/tourn/Beijing.08/Beijing.htm
https://db.worldbridge.org/repository/tourn/Beijing.08/Asp/knockoutphase.asp?qtournid=708&amp;qphase=PO
https://db.worldbridge.org/repository/tourn/Beijing.08/ASP/participantsDetail.asp?qteamid=5535</x:v>
      </x:c>
      <x:c r="I59" s="16" t="str">
        <x:v>姓氏同音（如 Yu=于/余/俞）及名字同音字均可能；不能视为身份确认。</x:v>
      </x:c>
      <x:c r="J59" s="17" t="n">
        <x:v>1</x:v>
      </x:c>
    </x:row>
    <x:row r="60">
      <x:c r="A60" s="36" t="str">
        <x:v>Jing Rong Ran</x:v>
      </x:c>
      <x:c r="B60" s="61" t="str">
        <x:v>冉静蓉</x:v>
      </x:c>
      <x:c r="C60" s="61" t="str">
        <x:v>高</x:v>
      </x:c>
      <x:c r="D60" s="36" t="str">
        <x:v>国内中文名单/报道 + WBF阵容交叉</x:v>
      </x:c>
      <x:c r="E60" s="35" t="str">
        <x:v>WBF登记为“Jing Rong Ran”；国内桥牌资讯中出现“冉静蓉”，并用同届比赛、队伍/搭档和活动时间交叉，拼音与中文姓名可形成较唯一对应。</x:v>
      </x:c>
      <x:c r="F60" s="35" t="str">
        <x:v>2014-10｜世界桥牌综合锦标赛｜Women Teams 女子团体｜CHINA
2019-09｜世界桥牌团体锦标赛｜Transnational Open Teams 跨国公开团体｜CHINA
2023-08｜世界桥牌团体锦标赛｜Venice Cup 女子团体｜CHINA
2025-08-20—2025-08-31｜第47届世界桥牌团体锦标赛｜Wuhan Cup 混合团体｜CHINA</x:v>
      </x:c>
      <x:c r="G60" s="35" t="str">
        <x:v>https://news.qq.com/rain/a/20250828A04GG700</x:v>
      </x:c>
      <x:c r="H60" s="35" t="str">
        <x:v>https://www.wbfmasterpoints.com/Medalsreport.asp
https://www.worldbridge.org/2025/08/congratulations-to-the-champions/</x:v>
      </x:c>
      <x:c r="I60" s="35" t="str">
        <x:v>仍可能存在WBF名序、空格或旧库拼写差异；以所列中文资料和赛事上下文为判断基础。</x:v>
      </x:c>
      <x:c r="J60" s="36" t="n">
        <x:v>4</x:v>
      </x:c>
    </x:row>
    <x:row r="61">
      <x:c r="A61" s="17" t="str">
        <x:v>Jingfan Chen</x:v>
      </x:c>
      <x:c r="B61" s="61" t="str">
        <x:v>陈竞帆</x:v>
      </x:c>
      <x:c r="C61" s="61" t="str">
        <x:v>高</x:v>
      </x:c>
      <x:c r="D61" s="17" t="str">
        <x:v>国内中文名单/报道 + WBF阵容交叉</x:v>
      </x:c>
      <x:c r="E61" s="16" t="str">
        <x:v>WBF登记为“Jingfan Chen”；国内桥牌资讯中出现“陈竞帆”，并用同届比赛、队伍/搭档和活动时间交叉，拼音与中文姓名可形成较唯一对应。</x:v>
      </x:c>
      <x:c r="F61" s="16" t="str">
        <x:v>2017-08-15—2017-08-24｜第5届世界青年公开锦标赛｜U16 Teams / Kids Teams｜CHINA RDFZ GALAXY</x:v>
      </x:c>
      <x:c r="G61" s="16" t="str">
        <x:v>https://sports.sina.cn/others/qipai/2020-07-07/detail-iirczymm1038498.d.html?vt=4</x:v>
      </x:c>
      <x:c r="H61" s="16" t="str">
        <x:v>https://www.worldbridge.org/competitions/the-world-youth-transnational-bridge-championships/</x:v>
      </x:c>
      <x:c r="I61" s="16" t="str">
        <x:v>仍可能存在WBF名序、空格或旧库拼写差异；以所列中文资料和赛事上下文为判断基础。</x:v>
      </x:c>
      <x:c r="J61" s="17" t="n">
        <x:v>1</x:v>
      </x:c>
    </x:row>
    <x:row r="62">
      <x:c r="A62" s="36" t="str">
        <x:v>Jixiao Han</x:v>
      </x:c>
      <x:c r="B62" s="78" t="str">
        <x:v>韩霁晓</x:v>
      </x:c>
      <x:c r="C62" s="78" t="str">
        <x:v>低</x:v>
      </x:c>
      <x:c r="D62" s="36" t="str">
        <x:v>仅拼音最佳猜测</x:v>
      </x:c>
      <x:c r="E62" s="35" t="str">
        <x:v>WBF登记为“Jixiao Han”；按姓名拼音与中国姓名常见用字给出“韩霁晓”作为可检索候选。未找到能与同届队伍/搭档闭环的国内中文名单。</x:v>
      </x:c>
      <x:c r="F62" s="35" t="str">
        <x:v>2026-08-03—2026-08-08｜第9届世界青年跨国锦标赛｜U31 Pairs｜Jixiao Han – Zian Wang
2026-08-03—2026-08-08｜第9届世界青年跨国锦标赛｜U31 Teams｜CHINA U31</x:v>
      </x:c>
      <x:c r="G62" s="35" t="str"/>
      <x:c r="H62" s="35" t="str">
        <x:v>https://db.worldbridge.org/Repository/tourn/hefei.26/microsite/Asp/TotalPairs.asp?qtournid=2669&amp;qgroupno=1&amp;qroundno=3
https://db.worldbridge.org/Repository/tourn/hefei.26/microsite/results.htm</x:v>
      </x:c>
      <x:c r="I62" s="35" t="str">
        <x:v>姓氏同音（如 Yu=于/余/俞）及名字同音字均可能；不能视为身份确认。</x:v>
      </x:c>
      <x:c r="J62" s="36" t="n">
        <x:v>2</x:v>
      </x:c>
    </x:row>
    <x:row r="63">
      <x:c r="A63" s="17" t="str">
        <x:v>Junjie Hu</x:v>
      </x:c>
      <x:c r="B63" s="61" t="str">
        <x:v>胡俊杰</x:v>
      </x:c>
      <x:c r="C63" s="61" t="str">
        <x:v>高</x:v>
      </x:c>
      <x:c r="D63" s="17" t="str">
        <x:v>国内中文名单/报道 + WBF阵容交叉</x:v>
      </x:c>
      <x:c r="E63" s="16" t="str">
        <x:v>WBF登记为“Junjie Hu”；国内桥牌资讯中出现“胡俊杰”，并用同届比赛、队伍/搭档和活动时间交叉，拼音与中文姓名可形成较唯一对应。</x:v>
      </x:c>
      <x:c r="F63" s="16" t="str">
        <x:v>2008-10-03—2008-10-18｜第1届世界智力运动会 / 世界桥牌运动会｜U21 Teams 青年团体｜CHINA
2010-10｜世界青年团体锦标赛｜U26 Teams｜CHINA
2012-07-25—2012-08-04｜世界青年团体锦标赛｜U26 Teams｜CHINA</x:v>
      </x:c>
      <x:c r="G63" s="16" t="str">
        <x:v>https://sports.sina.cn/others/qipai/2020-07-07/detail-iirczymm1038498.d.html?vt=4</x:v>
      </x:c>
      <x:c r="H63" s="16" t="str">
        <x:v>https://db.worldbridge.org/repository/tourn/Beijing.08/Beijing.htm
https://www.worldbridge.org/competitions/the-world-youth-team-championships/</x:v>
      </x:c>
      <x:c r="I63" s="16" t="str">
        <x:v>仍可能存在WBF名序、空格或旧库拼写差异；以所列中文资料和赛事上下文为判断基础。</x:v>
      </x:c>
      <x:c r="J63" s="17" t="n">
        <x:v>3</x:v>
      </x:c>
    </x:row>
    <x:row r="64">
      <x:c r="A64" s="36" t="str">
        <x:v>Kai Jin</x:v>
      </x:c>
      <x:c r="B64" s="78" t="str">
        <x:v>金凯</x:v>
      </x:c>
      <x:c r="C64" s="78" t="str">
        <x:v>低</x:v>
      </x:c>
      <x:c r="D64" s="36" t="str">
        <x:v>仅拼音最佳猜测</x:v>
      </x:c>
      <x:c r="E64" s="35" t="str">
        <x:v>WBF登记为“Kai Jin”；按姓名拼音与中国姓名常见用字给出“金凯”作为可检索候选。未找到能与同届队伍/搭档闭环的国内中文名单。</x:v>
      </x:c>
      <x:c r="F64" s="35" t="str">
        <x:v>2013｜第3届世界青年公开锦标赛｜U21 Pairs / Youngsters Pairs｜Kai Jin – Tianyi Jin
2013｜第3届世界青年公开锦标赛｜U21 Teams / Youngsters Teams｜CHINA XNWY</x:v>
      </x:c>
      <x:c r="G64" s="35" t="str"/>
      <x:c r="H64" s="35" t="str">
        <x:v>https://www.worldbridge.org/competitions/the-world-youth-transnational-bridge-championships/
https://www.worldbridge.org/competitions/the-world-youth-transnational-bridge-championships/the-u21-teams/</x:v>
      </x:c>
      <x:c r="I64" s="35" t="str">
        <x:v>姓氏同音（如 Yu=于/余/俞）及名字同音字均可能；不能视为身份确认。</x:v>
      </x:c>
      <x:c r="J64" s="36" t="n">
        <x:v>2</x:v>
      </x:c>
    </x:row>
    <x:row r="65">
      <x:c r="A65" s="17" t="str">
        <x:v>Kai Lu</x:v>
      </x:c>
      <x:c r="B65" s="67" t="str">
        <x:v>陆凯</x:v>
      </x:c>
      <x:c r="C65" s="67" t="str">
        <x:v>中</x:v>
      </x:c>
      <x:c r="D65" s="17" t="str">
        <x:v>赛事时间、队伍/搭档与拼音交叉</x:v>
      </x:c>
      <x:c r="E65" s="16" t="str">
        <x:v>WBF登记为“Kai Lu”；结合所列赛事年代、年龄组、队伍/搭档与国内常见写法，最佳候选为“陆凯”。尚缺一份能同时列出英文拼音与中文全名的直接名单。</x:v>
      </x:c>
      <x:c r="F65" s="16" t="str">
        <x:v>2012-07-25—2012-08-04｜世界青年团体锦标赛｜U26 Teams｜CHINA</x:v>
      </x:c>
      <x:c r="G65" s="16" t="str"/>
      <x:c r="H65" s="16" t="str">
        <x:v>https://www.worldbridge.org/competitions/the-world-youth-team-championships/</x:v>
      </x:c>
      <x:c r="I65" s="16" t="str">
        <x:v>汉字可能有同音替代，故标为中确定度；国内资料栏不填，避免把间接报道当成直接证据。</x:v>
      </x:c>
      <x:c r="J65" s="17" t="n">
        <x:v>1</x:v>
      </x:c>
    </x:row>
    <x:row r="66">
      <x:c r="A66" s="36" t="str">
        <x:v>Kaiwen Yu</x:v>
      </x:c>
      <x:c r="B66" s="78" t="str">
        <x:v>余凯文</x:v>
      </x:c>
      <x:c r="C66" s="78" t="str">
        <x:v>低</x:v>
      </x:c>
      <x:c r="D66" s="36" t="str">
        <x:v>仅拼音最佳猜测</x:v>
      </x:c>
      <x:c r="E66" s="35" t="str">
        <x:v>WBF登记为“Kaiwen Yu”；按姓名拼音与中国姓名常见用字给出“余凯文”作为可检索候选。未找到能与同届队伍/搭档闭环的国内中文名单。</x:v>
      </x:c>
      <x:c r="F66" s="35" t="str">
        <x:v>2013｜第3届世界青年公开锦标赛｜U21 Teams / Youngsters Teams｜CHINA XNWY</x:v>
      </x:c>
      <x:c r="G66" s="35" t="str"/>
      <x:c r="H66" s="35" t="str">
        <x:v>https://www.worldbridge.org/competitions/the-world-youth-transnational-bridge-championships/the-u21-teams/</x:v>
      </x:c>
      <x:c r="I66" s="35" t="str">
        <x:v>姓氏同音（如 Yu=于/余/俞）及名字同音字均可能；不能视为身份确认。</x:v>
      </x:c>
      <x:c r="J66" s="36" t="n">
        <x:v>1</x:v>
      </x:c>
    </x:row>
    <x:row r="67">
      <x:c r="A67" s="17" t="str">
        <x:v>Ke Guo</x:v>
      </x:c>
      <x:c r="B67" s="61" t="str">
        <x:v>郭珂</x:v>
      </x:c>
      <x:c r="C67" s="61" t="str">
        <x:v>高</x:v>
      </x:c>
      <x:c r="D67" s="17" t="str">
        <x:v>国内中文名单/报道 + WBF阵容交叉</x:v>
      </x:c>
      <x:c r="E67" s="16" t="str">
        <x:v>WBF登记为“Ke Guo”；国内桥牌资讯中出现“郭珂”，并用同届比赛、队伍/搭档和活动时间交叉，拼音与中文姓名可形成较唯一对应。</x:v>
      </x:c>
      <x:c r="F67" s="16" t="str">
        <x:v>2025-08-20—2025-08-31｜第47届世界桥牌团体锦标赛｜Venice Cup 女子团体｜CHINA</x:v>
      </x:c>
      <x:c r="G67" s="16" t="str">
        <x:v>https://news.qq.com/rain/a/20250828A04GG700</x:v>
      </x:c>
      <x:c r="H67" s="16" t="str">
        <x:v>https://www.worldbridge.org/2025/08/congratulations-to-the-champions/</x:v>
      </x:c>
      <x:c r="I67" s="16" t="str">
        <x:v>仍可能存在WBF名序、空格或旧库拼写差异；以所列中文资料和赛事上下文为判断基础。</x:v>
      </x:c>
      <x:c r="J67" s="17" t="n">
        <x:v>1</x:v>
      </x:c>
    </x:row>
    <x:row r="68">
      <x:c r="A68" s="36" t="str">
        <x:v>Lepeng Shen</x:v>
      </x:c>
      <x:c r="B68" s="78" t="str">
        <x:v>沈乐鹏</x:v>
      </x:c>
      <x:c r="C68" s="78" t="str">
        <x:v>低</x:v>
      </x:c>
      <x:c r="D68" s="36" t="str">
        <x:v>仅拼音最佳猜测</x:v>
      </x:c>
      <x:c r="E68" s="35" t="str">
        <x:v>WBF登记为“Lepeng Shen”；按姓名拼音与中国姓名常见用字给出“沈乐鹏”作为可检索候选。未找到能与同届队伍/搭档闭环的国内中文名单。</x:v>
      </x:c>
      <x:c r="F68" s="35" t="str">
        <x:v>2026-08-03—2026-08-08｜第9届世界青年跨国锦标赛｜U16 Pairs｜Lepeng Shen – Xiao Xu</x:v>
      </x:c>
      <x:c r="G68" s="35" t="str"/>
      <x:c r="H68" s="35" t="str">
        <x:v>https://db.worldbridge.org/Repository/tourn/hefei.26/microsite/Asp/TotalPairs.asp?qtournid=2668&amp;qgroupno=1&amp;qroundno=3</x:v>
      </x:c>
      <x:c r="I68" s="35" t="str">
        <x:v>姓氏同音（如 Yu=于/余/俞）及名字同音字均可能；不能视为身份确认。</x:v>
      </x:c>
      <x:c r="J68" s="36" t="n">
        <x:v>1</x:v>
      </x:c>
    </x:row>
    <x:row r="69">
      <x:c r="A69" s="17" t="str">
        <x:v>Li Chen</x:v>
      </x:c>
      <x:c r="B69" s="67" t="str">
        <x:v>陈丽</x:v>
      </x:c>
      <x:c r="C69" s="67" t="str">
        <x:v>中</x:v>
      </x:c>
      <x:c r="D69" s="17" t="str">
        <x:v>赛事时间、队伍/搭档与拼音交叉</x:v>
      </x:c>
      <x:c r="E69" s="16" t="str">
        <x:v>WBF登记为“Li Chen”；结合所列赛事年代、年龄组、队伍/搭档与国内常见写法，最佳候选为“陈丽”。尚缺一份能同时列出英文拼音与中文全名的直接名单。</x:v>
      </x:c>
      <x:c r="F69" s="16" t="str">
        <x:v>2014-08-13—2014-08-23｜世界青年团体锦标赛｜U26 Women Teams｜CHINA</x:v>
      </x:c>
      <x:c r="G69" s="16" t="str"/>
      <x:c r="H69" s="16" t="str">
        <x:v>https://www.worldbridge.org/competitions/the-world-youth-team-championships/</x:v>
      </x:c>
      <x:c r="I69" s="16" t="str">
        <x:v>汉字可能有同音替代，故标为中确定度；国内资料栏不填，避免把间接报道当成直接证据。</x:v>
      </x:c>
      <x:c r="J69" s="17" t="n">
        <x:v>1</x:v>
      </x:c>
    </x:row>
    <x:row r="70">
      <x:c r="A70" s="36" t="str">
        <x:v>Li Xin Yang</x:v>
      </x:c>
      <x:c r="B70" s="61" t="str">
        <x:v>杨立新</x:v>
      </x:c>
      <x:c r="C70" s="61" t="str">
        <x:v>高</x:v>
      </x:c>
      <x:c r="D70" s="36" t="str">
        <x:v>国内中文名单/报道 + WBF阵容交叉</x:v>
      </x:c>
      <x:c r="E70" s="35" t="str">
        <x:v>WBF登记为“Li Xin Yang”；国内桥牌资讯中出现“杨立新”，并用同届比赛、队伍/搭档和活动时间交叉，拼音与中文姓名可形成较唯一对应。</x:v>
      </x:c>
      <x:c r="F70" s="35" t="str">
        <x:v>2013｜世界桥牌团体锦标赛｜Transnational Open Teams 跨国公开团体｜CHINA
2014-10｜世界桥牌综合锦标赛｜Mixed Teams 混合团体｜CHINA
2019-09｜世界桥牌团体锦标赛｜Transnational Open Teams 跨国公开团体｜CHINA</x:v>
      </x:c>
      <x:c r="G70" s="35" t="str">
        <x:v>https://www.ourgame.com/arranghtml/news7.html</x:v>
      </x:c>
      <x:c r="H70" s="35" t="str">
        <x:v>https://www.wbfmasterpoints.com/Medalsreport.asp</x:v>
      </x:c>
      <x:c r="I70" s="35" t="str">
        <x:v>仍可能存在WBF名序、空格或旧库拼写差异；以所列中文资料和赛事上下文为判断基础。</x:v>
      </x:c>
      <x:c r="J70" s="36" t="n">
        <x:v>3</x:v>
      </x:c>
    </x:row>
    <x:row r="71">
      <x:c r="A71" s="17" t="str">
        <x:v>Licong Cheng</x:v>
      </x:c>
      <x:c r="B71" s="67" t="str">
        <x:v>程立聪</x:v>
      </x:c>
      <x:c r="C71" s="67" t="str">
        <x:v>中</x:v>
      </x:c>
      <x:c r="D71" s="17" t="str">
        <x:v>赛事时间、队伍/搭档与拼音交叉</x:v>
      </x:c>
      <x:c r="E71" s="16" t="str">
        <x:v>WBF登记为“Licong Cheng”；结合所列赛事年代、年龄组、队伍/搭档与国内常见写法，最佳候选为“程立聪”。尚缺一份能同时列出英文拼音与中文全名的直接名单。</x:v>
      </x:c>
      <x:c r="F71" s="16" t="str">
        <x:v>2017-08-15—2017-08-24｜第5届世界青年公开锦标赛｜U16 BAM｜SHENGXING SATURN
2017-08-15—2017-08-24｜第5届世界青年公开锦标赛｜U16 Pairs / Kids Pairs｜Licong Cheng – Penghao Wang
2017-08-15—2017-08-24｜第5届世界青年公开锦标赛｜U16 Teams / Kids Teams｜SHENGXING SATURN</x:v>
      </x:c>
      <x:c r="G71" s="16" t="str"/>
      <x:c r="H71" s="16" t="str">
        <x:v>https://www.worldbridge.org/competitions/the-world-youth-transnational-bridge-championships/
https://db.worldbridge.org/repository/tourn/lyonyouth.17/microsite/Asp/TotalPairs.asp?qtournid=1457&amp;qroundno=3&amp;qgroupno=1</x:v>
      </x:c>
      <x:c r="I71" s="16" t="str">
        <x:v>汉字可能有同音替代，故标为中确定度；国内资料栏不填，避免把间接报道当成直接证据。</x:v>
      </x:c>
      <x:c r="J71" s="17" t="n">
        <x:v>3</x:v>
      </x:c>
    </x:row>
    <x:row r="72">
      <x:c r="A72" s="36" t="str">
        <x:v>Ling Gan</x:v>
      </x:c>
      <x:c r="B72" s="61" t="str">
        <x:v>甘玲</x:v>
      </x:c>
      <x:c r="C72" s="61" t="str">
        <x:v>高</x:v>
      </x:c>
      <x:c r="D72" s="36" t="str">
        <x:v>国内中文名单/报道 + WBF阵容交叉</x:v>
      </x:c>
      <x:c r="E72" s="35" t="str">
        <x:v>WBF登记为“Ling Gan”；国内桥牌资讯中出现“甘玲”，并用同届比赛、队伍/搭档和活动时间交叉，拼音与中文姓名可形成较唯一对应。</x:v>
      </x:c>
      <x:c r="F72" s="35" t="str">
        <x:v>2008-10-03—2008-10-18｜第1届世界智力运动会 / 世界桥牌运动会｜Transnational Mixed Teams 跨国混合团体｜A-EVERTRUST HOLDING GROUP
2014-10｜世界桥牌综合锦标赛｜Women Pairs 女子双人｜Yan Huang – Ling Gan</x:v>
      </x:c>
      <x:c r="G72" s="35" t="str">
        <x:v>https://www.ourgame.com/arranghtml/news7.html</x:v>
      </x:c>
      <x:c r="H72" s="35" t="str">
        <x:v>https://db.worldbridge.org/repository/tourn/Beijing.08/Beijing.htm
https://www.wbfmasterpoints.com/Medalsreport.asp</x:v>
      </x:c>
      <x:c r="I72" s="35" t="str">
        <x:v>仍可能存在WBF名序、空格或旧库拼写差异；以所列中文资料和赛事上下文为判断基础。</x:v>
      </x:c>
      <x:c r="J72" s="36" t="n">
        <x:v>2</x:v>
      </x:c>
    </x:row>
    <x:row r="73">
      <x:c r="A73" s="17" t="str">
        <x:v>Ling Gu</x:v>
      </x:c>
      <x:c r="B73" s="61" t="str">
        <x:v>古玲</x:v>
      </x:c>
      <x:c r="C73" s="61" t="str">
        <x:v>高</x:v>
      </x:c>
      <x:c r="D73" s="17" t="str">
        <x:v>国内中文名单/报道 + WBF阵容交叉</x:v>
      </x:c>
      <x:c r="E73" s="16" t="str">
        <x:v>WBF登记为“Ling Gu”；国内桥牌资讯中出现“古玲”，并用同届比赛、队伍/搭档和活动时间交叉，拼音与中文姓名可形成较唯一对应。</x:v>
      </x:c>
      <x:c r="F73" s="16" t="str">
        <x:v>1991｜世界桥牌团体锦标赛｜Venice Cup 女子团体｜CHINA
1996｜世界桥牌团体奥林匹克赛｜女子团体｜CHINA
1997｜世界桥牌团体锦标赛｜Venice Cup 女子团体｜CHINA
2003｜世界桥牌团体锦标赛｜Venice Cup 女子团体｜CHINA
另有4条，见个人奖牌榜明细</x:v>
      </x:c>
      <x:c r="G73" s="16" t="str">
        <x:v>https://zqb.cyol.com/content/2003-11/17/content_771888.htm</x:v>
      </x:c>
      <x:c r="H73" s="16" t="str">
        <x:v>https://www.wbfmasterpoints.com/Medalsreport.asp
https://db.worldbridge.org/repository/tourn/Beijing.08/Beijing.htm</x:v>
      </x:c>
      <x:c r="I73" s="16" t="str">
        <x:v>仍可能存在WBF名序、空格或旧库拼写差异；以所列中文资料和赛事上下文为判断基础。</x:v>
      </x:c>
      <x:c r="J73" s="17" t="n">
        <x:v>8</x:v>
      </x:c>
    </x:row>
    <x:row r="74">
      <x:c r="A74" s="36" t="str">
        <x:v>Ling Hu</x:v>
      </x:c>
      <x:c r="B74" s="78" t="str">
        <x:v>胡玲</x:v>
      </x:c>
      <x:c r="C74" s="78" t="str">
        <x:v>低</x:v>
      </x:c>
      <x:c r="D74" s="36" t="str">
        <x:v>仅拼音最佳猜测</x:v>
      </x:c>
      <x:c r="E74" s="35" t="str">
        <x:v>WBF登记为“Ling Hu”；按姓名拼音与中国姓名常见用字给出“胡玲”作为可检索候选。未找到能与同届队伍/搭档闭环的国内中文名单。</x:v>
      </x:c>
      <x:c r="F74" s="35" t="str">
        <x:v>2015-08-20—2015-08-29｜第4届世界青年公开锦标赛｜U26 Women Teams / Girls Teams｜CHINA RDFZ GIRLS</x:v>
      </x:c>
      <x:c r="G74" s="35" t="str"/>
      <x:c r="H74" s="35" t="str">
        <x:v>https://db.worldbridge.org/Repository/tourn/Opatija.15/Microsite/Results.htm</x:v>
      </x:c>
      <x:c r="I74" s="35" t="str">
        <x:v>姓氏同音（如 Yu=于/余/俞）及名字同音字均可能；不能视为身份确认。</x:v>
      </x:c>
      <x:c r="J74" s="36" t="n">
        <x:v>1</x:v>
      </x:c>
    </x:row>
    <x:row r="75">
      <x:c r="A75" s="17" t="str">
        <x:v>Lingyi Ma</x:v>
      </x:c>
      <x:c r="B75" s="78" t="str">
        <x:v>马凌怡</x:v>
      </x:c>
      <x:c r="C75" s="78" t="str">
        <x:v>低</x:v>
      </x:c>
      <x:c r="D75" s="17" t="str">
        <x:v>仅拼音最佳猜测</x:v>
      </x:c>
      <x:c r="E75" s="16" t="str">
        <x:v>WBF登记为“Lingyi Ma”；按姓名拼音与中国姓名常见用字给出“马凌怡”作为可检索候选。未找到能与同届队伍/搭档闭环的国内中文名单。</x:v>
      </x:c>
      <x:c r="F75" s="16" t="str">
        <x:v>2015-08-20—2015-08-29｜第4届世界青年公开锦标赛｜U26 Women Teams / Girls Teams｜CHINA RDFZ GIRLS</x:v>
      </x:c>
      <x:c r="G75" s="16" t="str"/>
      <x:c r="H75" s="16" t="str">
        <x:v>https://db.worldbridge.org/Repository/tourn/Opatija.15/Microsite/Results.htm</x:v>
      </x:c>
      <x:c r="I75" s="16" t="str">
        <x:v>姓氏同音（如 Yu=于/余/俞）及名字同音字均可能；不能视为身份确认。</x:v>
      </x:c>
      <x:c r="J75" s="17" t="n">
        <x:v>1</x:v>
      </x:c>
    </x:row>
    <x:row r="76">
      <x:c r="A76" s="36" t="str">
        <x:v>Lingyun Teng</x:v>
      </x:c>
      <x:c r="B76" s="78" t="str">
        <x:v>滕凌云</x:v>
      </x:c>
      <x:c r="C76" s="78" t="str">
        <x:v>低</x:v>
      </x:c>
      <x:c r="D76" s="36" t="str">
        <x:v>仅拼音最佳猜测</x:v>
      </x:c>
      <x:c r="E76" s="35" t="str">
        <x:v>WBF登记为“Lingyun Teng”；按姓名拼音与中国姓名常见用字给出“滕凌云”作为可检索候选。未找到能与同届队伍/搭档闭环的国内中文名单。</x:v>
      </x:c>
      <x:c r="F76" s="35" t="str">
        <x:v>2025-07-12—2025-07-17｜第19届世界青年团体锦标赛｜U26 Women Teams｜CHINA</x:v>
      </x:c>
      <x:c r="G76" s="35" t="str"/>
      <x:c r="H76" s="35" t="str">
        <x:v>https://www.worldbridge.org/2025/07/19th-world-youth-team-championships-the-winners/</x:v>
      </x:c>
      <x:c r="I76" s="35" t="str">
        <x:v>姓氏同音（如 Yu=于/余/俞）及名字同音字均可能；不能视为身份确认。</x:v>
      </x:c>
      <x:c r="J76" s="36" t="n">
        <x:v>1</x:v>
      </x:c>
    </x:row>
    <x:row r="77">
      <x:c r="A77" s="17" t="str">
        <x:v>Liping Wang</x:v>
      </x:c>
      <x:c r="B77" s="61" t="str">
        <x:v>王礼萍</x:v>
      </x:c>
      <x:c r="C77" s="61" t="str">
        <x:v>高</x:v>
      </x:c>
      <x:c r="D77" s="17" t="str">
        <x:v>国内中文名单/报道 + WBF阵容交叉</x:v>
      </x:c>
      <x:c r="E77" s="16" t="str">
        <x:v>WBF登记为“Liping Wang”；国内桥牌资讯中出现“王礼萍”，并用同届比赛、队伍/搭档和活动时间交叉，拼音与中文姓名可形成较唯一对应。</x:v>
      </x:c>
      <x:c r="F77" s="16" t="str">
        <x:v>2003｜世界桥牌团体锦标赛｜Venice Cup 女子团体｜CHINA
2004｜世界桥牌奥林匹克赛｜Transnational Mixed Teams 跨国混合团体｜CHINA
2012｜世界桥牌运动会｜Transnational Mixed Teams 跨国混合团体｜CHINA
2014-10｜世界桥牌综合锦标赛｜Mixed Teams 混合团体｜CHINA</x:v>
      </x:c>
      <x:c r="G77" s="16" t="str">
        <x:v>https://www.ourgame.com/arranghtml/news7.html</x:v>
      </x:c>
      <x:c r="H77" s="16" t="str">
        <x:v>https://www.wbfmasterpoints.com/Medalsreport.asp</x:v>
      </x:c>
      <x:c r="I77" s="16" t="str">
        <x:v>仍可能存在WBF名序、空格或旧库拼写差异；以所列中文资料和赛事上下文为判断基础。</x:v>
      </x:c>
      <x:c r="J77" s="17" t="n">
        <x:v>4</x:v>
      </x:c>
    </x:row>
    <x:row r="78">
      <x:c r="A78" s="36" t="str">
        <x:v>Lulu Peng</x:v>
      </x:c>
      <x:c r="B78" s="67" t="str">
        <x:v>彭璐璐</x:v>
      </x:c>
      <x:c r="C78" s="67" t="str">
        <x:v>中</x:v>
      </x:c>
      <x:c r="D78" s="36" t="str">
        <x:v>赛事时间、队伍/搭档与拼音交叉</x:v>
      </x:c>
      <x:c r="E78" s="35" t="str">
        <x:v>WBF登记为“Lulu Peng”；结合所列赛事年代、年龄组、队伍/搭档与国内常见写法，最佳候选为“彭璐璐”。尚缺一份能同时列出英文拼音与中文全名的直接名单。</x:v>
      </x:c>
      <x:c r="F78" s="35" t="str">
        <x:v>2010-10｜世界青年团体锦标赛｜U26 Women Teams｜CHINA</x:v>
      </x:c>
      <x:c r="G78" s="35" t="str"/>
      <x:c r="H78" s="35" t="str">
        <x:v>https://www.worldbridge.org/competitions/the-world-youth-team-championships/</x:v>
      </x:c>
      <x:c r="I78" s="35" t="str">
        <x:v>汉字可能有同音替代，故标为中确定度；国内资料栏不填，避免把间接报道当成直接证据。</x:v>
      </x:c>
      <x:c r="J78" s="36" t="n">
        <x:v>1</x:v>
      </x:c>
    </x:row>
    <x:row r="79">
      <x:c r="A79" s="17" t="str">
        <x:v>Luxi Gong</x:v>
      </x:c>
      <x:c r="B79" s="78" t="str">
        <x:v>龚露西</x:v>
      </x:c>
      <x:c r="C79" s="78" t="str">
        <x:v>低</x:v>
      </x:c>
      <x:c r="D79" s="17" t="str">
        <x:v>仅拼音最佳猜测</x:v>
      </x:c>
      <x:c r="E79" s="16" t="str">
        <x:v>WBF登记为“Luxi Gong”；按姓名拼音与中国姓名常见用字给出“龚露西”作为可检索候选。未找到能与同届队伍/搭档闭环的国内中文名单。</x:v>
      </x:c>
      <x:c r="F79" s="16" t="str">
        <x:v>2026-08-03—2026-08-08｜第9届世界青年跨国锦标赛｜U26 Women Pairs｜Luxi Gong – Wanying Guo</x:v>
      </x:c>
      <x:c r="G79" s="16" t="str"/>
      <x:c r="H79" s="16" t="str">
        <x:v>https://db.worldbridge.org/Repository/tourn/hefei.26/microsite/Asp/TotalPairs.asp?qtournid=2667&amp;qgroupno=1&amp;qroundno=3</x:v>
      </x:c>
      <x:c r="I79" s="16" t="str">
        <x:v>姓氏同音（如 Yu=于/余/俞）及名字同音字均可能；不能视为身份确认。</x:v>
      </x:c>
      <x:c r="J79" s="17" t="n">
        <x:v>1</x:v>
      </x:c>
    </x:row>
    <x:row r="80">
      <x:c r="A80" s="36" t="str">
        <x:v>Mao Yuan Hu</x:v>
      </x:c>
      <x:c r="B80" s="61" t="str">
        <x:v>胡茂元</x:v>
      </x:c>
      <x:c r="C80" s="61" t="str">
        <x:v>高</x:v>
      </x:c>
      <x:c r="D80" s="36" t="str">
        <x:v>国内中文名单/报道 + WBF阵容交叉</x:v>
      </x:c>
      <x:c r="E80" s="35" t="str">
        <x:v>WBF登记为“Mao Yuan Hu”；国内桥牌资讯中出现“胡茂元”，并用同届比赛、队伍/搭档和活动时间交叉，拼音与中文姓名可形成较唯一对应。</x:v>
      </x:c>
      <x:c r="F80" s="35" t="str">
        <x:v>2012｜世界桥牌运动会｜Transnational Mixed Teams 跨国混合团体｜CHINA
2013｜世界桥牌团体锦标赛｜Transnational Open Teams 跨国公开团体｜CHINA
2014-10｜世界桥牌综合锦标赛｜Mixed Teams 混合团体｜CHINA</x:v>
      </x:c>
      <x:c r="G80" s="35" t="str">
        <x:v>https://www.ourgame.com/arranghtml/news7.html</x:v>
      </x:c>
      <x:c r="H80" s="35" t="str">
        <x:v>https://www.wbfmasterpoints.com/Medalsreport.asp</x:v>
      </x:c>
      <x:c r="I80" s="35" t="str">
        <x:v>仍可能存在WBF名序、空格或旧库拼写差异；以所列中文资料和赛事上下文为判断基础。</x:v>
      </x:c>
      <x:c r="J80" s="36" t="n">
        <x:v>3</x:v>
      </x:c>
    </x:row>
    <x:row r="81">
      <x:c r="A81" s="17" t="str">
        <x:v>Meiling Zhou</x:v>
      </x:c>
      <x:c r="B81" s="61" t="str">
        <x:v>周美玲</x:v>
      </x:c>
      <x:c r="C81" s="61" t="str">
        <x:v>高</x:v>
      </x:c>
      <x:c r="D81" s="17" t="str">
        <x:v>国内中文名单/报道 + WBF阵容交叉</x:v>
      </x:c>
      <x:c r="E81" s="16" t="str">
        <x:v>WBF登记为“Meiling Zhou”；国内桥牌资讯中出现“周美玲”，并用同届比赛、队伍/搭档和活动时间交叉，拼音与中文姓名可形成较唯一对应。</x:v>
      </x:c>
      <x:c r="F81" s="16" t="str">
        <x:v>2023-08｜世界桥牌团体锦标赛｜Venice Cup 女子团体｜CHINA</x:v>
      </x:c>
      <x:c r="G81" s="16" t="str">
        <x:v>https://www.hangzhou2022.cn/xwzx/qqss/202306/t20230616_62558.shtml</x:v>
      </x:c>
      <x:c r="H81" s="16" t="str">
        <x:v>https://www.wbfmasterpoints.com/Medalsreport.asp</x:v>
      </x:c>
      <x:c r="I81" s="16" t="str">
        <x:v>仍可能存在WBF名序、空格或旧库拼写差异；以所列中文资料和赛事上下文为判断基础。</x:v>
      </x:c>
      <x:c r="J81" s="17" t="n">
        <x:v>1</x:v>
      </x:c>
    </x:row>
    <x:row r="82">
      <x:c r="A82" s="36" t="str">
        <x:v>Mengqi Hao</x:v>
      </x:c>
      <x:c r="B82" s="78" t="str">
        <x:v>郝梦琪</x:v>
      </x:c>
      <x:c r="C82" s="78" t="str">
        <x:v>低</x:v>
      </x:c>
      <x:c r="D82" s="36" t="str">
        <x:v>仅拼音最佳猜测</x:v>
      </x:c>
      <x:c r="E82" s="35" t="str">
        <x:v>WBF登记为“Mengqi Hao”；按姓名拼音与中国姓名常见用字给出“郝梦琪”作为可检索候选。未找到能与同届队伍/搭档闭环的国内中文名单。</x:v>
      </x:c>
      <x:c r="F82" s="35" t="str">
        <x:v>2015-08-20—2015-08-29｜第4届世界青年公开锦标赛｜U26 Women Teams / Girls Teams｜CHINA RDFZ GIRLS</x:v>
      </x:c>
      <x:c r="G82" s="35" t="str"/>
      <x:c r="H82" s="35" t="str">
        <x:v>https://db.worldbridge.org/Repository/tourn/Opatija.15/Microsite/Results.htm</x:v>
      </x:c>
      <x:c r="I82" s="35" t="str">
        <x:v>姓氏同音（如 Yu=于/余/俞）及名字同音字均可能；不能视为身份确认。</x:v>
      </x:c>
      <x:c r="J82" s="36" t="n">
        <x:v>1</x:v>
      </x:c>
    </x:row>
    <x:row r="83">
      <x:c r="A83" s="17" t="str">
        <x:v>Ming Sheng</x:v>
      </x:c>
      <x:c r="B83" s="78" t="str">
        <x:v>盛明</x:v>
      </x:c>
      <x:c r="C83" s="78" t="str">
        <x:v>低</x:v>
      </x:c>
      <x:c r="D83" s="17" t="str">
        <x:v>仅拼音最佳猜测</x:v>
      </x:c>
      <x:c r="E83" s="16" t="str">
        <x:v>WBF登记为“Ming Sheng”；按姓名拼音与中国姓名常见用字给出“盛明”作为可检索候选。未找到能与同届队伍/搭档闭环的国内中文名单。</x:v>
      </x:c>
      <x:c r="F83" s="16" t="str">
        <x:v>2008-10-03—2008-10-18｜第1届世界智力运动会 / 世界桥牌运动会｜U28 Teams 青年团体｜CHINA</x:v>
      </x:c>
      <x:c r="G83" s="16" t="str"/>
      <x:c r="H83" s="16" t="str">
        <x:v>https://db.worldbridge.org/repository/tourn/Beijing.08/Beijing.htm
https://db.worldbridge.org/repository/tourn/Beijing.08/Asp/knockoutphase.asp?qtournid=708&amp;qphase=PO
https://db.worldbridge.org/repository/tourn/Beijing.08/ASP/participantsDetail.asp?qteamid=5535</x:v>
      </x:c>
      <x:c r="I83" s="16" t="str">
        <x:v>姓氏同音（如 Yu=于/余/俞）及名字同音字均可能；不能视为身份确认。</x:v>
      </x:c>
      <x:c r="J83" s="17" t="n">
        <x:v>1</x:v>
      </x:c>
    </x:row>
    <x:row r="84">
      <x:c r="A84" s="36" t="str">
        <x:v>Ming Sun</x:v>
      </x:c>
      <x:c r="B84" s="61" t="str">
        <x:v>孙铭</x:v>
      </x:c>
      <x:c r="C84" s="61" t="str">
        <x:v>高</x:v>
      </x:c>
      <x:c r="D84" s="36" t="str">
        <x:v>国内中文名单/报道 + WBF阵容交叉</x:v>
      </x:c>
      <x:c r="E84" s="35" t="str">
        <x:v>WBF登记为“Ming Sun”；国内桥牌资讯中出现“孙铭”，并用同届比赛、队伍/搭档和活动时间交叉，拼音与中文姓名可形成较唯一对应。</x:v>
      </x:c>
      <x:c r="F84" s="35" t="str">
        <x:v>1991｜世界桥牌团体锦标赛｜Venice Cup 女子团体｜CHINA
1996｜世界桥牌团体奥林匹克赛｜女子团体｜CHINA
1997｜世界桥牌团体锦标赛｜Venice Cup 女子团体｜CHINA
2004｜世界桥牌奥林匹克赛｜Transnational Mixed Teams 跨国混合团体｜CHINA
另有5条，见个人奖牌榜明细</x:v>
      </x:c>
      <x:c r="G84" s="35" t="str">
        <x:v>https://sports.sina.cn/others/qipai/2020-07-07/detail-iirczymm1038498.d.html?vt=4</x:v>
      </x:c>
      <x:c r="H84" s="35" t="str">
        <x:v>https://www.wbfmasterpoints.com/Medalsreport.asp
https://db.worldbridge.org/repository/tourn/Beijing.08/Beijing.htm
https://db.worldbridge.org/Repository/tourn/SaoPaulo.09/SaoPaulo.htm</x:v>
      </x:c>
      <x:c r="I84" s="35" t="str">
        <x:v>仍可能存在WBF名序、空格或旧库拼写差异；以所列中文资料和赛事上下文为判断基础。</x:v>
      </x:c>
      <x:c r="J84" s="36" t="n">
        <x:v>9</x:v>
      </x:c>
    </x:row>
    <x:row r="85">
      <x:c r="A85" s="17" t="str">
        <x:v>Mingkun Shen</x:v>
      </x:c>
      <x:c r="B85" s="61" t="str">
        <x:v>沈明坤</x:v>
      </x:c>
      <x:c r="C85" s="61" t="str">
        <x:v>高</x:v>
      </x:c>
      <x:c r="D85" s="17" t="str">
        <x:v>国内中文名单/报道 + WBF阵容交叉</x:v>
      </x:c>
      <x:c r="E85" s="16" t="str">
        <x:v>WBF登记为“Mingkun Shen”；国内桥牌资讯中出现“沈明坤”，并用同届比赛、队伍/搭档和活动时间交叉，拼音与中文姓名可形成较唯一对应。</x:v>
      </x:c>
      <x:c r="F85" s="16" t="str">
        <x:v>2018｜世界桥牌综合锦标赛｜World Senior Teams 老年团体｜CHINA</x:v>
      </x:c>
      <x:c r="G85" s="16" t="str">
        <x:v>https://sports.sina.cn/others/qipai/2020-07-07/detail-iirczymm1038498.d.html?vt=4</x:v>
      </x:c>
      <x:c r="H85" s="16" t="str">
        <x:v>https://www.wbfmasterpoints.com/Medalsreport.asp</x:v>
      </x:c>
      <x:c r="I85" s="16" t="str">
        <x:v>仍可能存在WBF名序、空格或旧库拼写差异；以所列中文资料和赛事上下文为判断基础。</x:v>
      </x:c>
      <x:c r="J85" s="17" t="n">
        <x:v>1</x:v>
      </x:c>
    </x:row>
    <x:row r="86">
      <x:c r="A86" s="36" t="str">
        <x:v>Mingyu Lu</x:v>
      </x:c>
      <x:c r="B86" s="61" t="str">
        <x:v>陆鸣宇</x:v>
      </x:c>
      <x:c r="C86" s="61" t="str">
        <x:v>高</x:v>
      </x:c>
      <x:c r="D86" s="36" t="str">
        <x:v>国内中文名单/报道 + WBF阵容交叉</x:v>
      </x:c>
      <x:c r="E86" s="35" t="str">
        <x:v>WBF登记为“Mingyu Lu”；国内桥牌资讯中出现“陆鸣宇”，并用同届比赛、队伍/搭档和活动时间交叉，拼音与中文姓名可形成较唯一对应。</x:v>
      </x:c>
      <x:c r="F86" s="35" t="str">
        <x:v>2017-08-15—2017-08-24｜第5届世界青年公开锦标赛｜U16 BAM｜SHENGXING VENUS
2017-08-15—2017-08-24｜第5届世界青年公开锦标赛｜U16 Pairs / Kids Pairs｜Yizhou Liu – Mingyu Lu
2017-08-15—2017-08-24｜第5届世界青年公开锦标赛｜U16 Teams / Kids Teams｜SHENGXING VENUS</x:v>
      </x:c>
      <x:c r="G86" s="35" t="str">
        <x:v>https://sports.sina.cn/others/qipai/2020-07-07/detail-iirczymm1038498.d.html?vt=4</x:v>
      </x:c>
      <x:c r="H86" s="35" t="str">
        <x:v>https://www.worldbridge.org/competitions/the-world-youth-transnational-bridge-championships/
https://db.worldbridge.org/repository/tourn/lyonyouth.17/microsite/Asp/TotalPairs.asp?qtournid=1457&amp;qroundno=3&amp;qgroupno=1</x:v>
      </x:c>
      <x:c r="I86" s="35" t="str">
        <x:v>仍可能存在WBF名序、空格或旧库拼写差异；以所列中文资料和赛事上下文为判断基础。</x:v>
      </x:c>
      <x:c r="J86" s="36" t="n">
        <x:v>3</x:v>
      </x:c>
    </x:row>
    <x:row r="87">
      <x:c r="A87" s="17" t="str">
        <x:v>Nan Wang</x:v>
      </x:c>
      <x:c r="B87" s="61" t="str">
        <x:v>王南</x:v>
      </x:c>
      <x:c r="C87" s="61" t="str">
        <x:v>高</x:v>
      </x:c>
      <x:c r="D87" s="17" t="str">
        <x:v>国内中文名单/报道 + WBF阵容交叉</x:v>
      </x:c>
      <x:c r="E87" s="16" t="str">
        <x:v>WBF登记为“Nan Wang”；国内桥牌资讯中出现“王南”，并用同届比赛、队伍/搭档和活动时间交叉，拼音与中文姓名可形成较唯一对应。</x:v>
      </x:c>
      <x:c r="F87" s="16" t="str">
        <x:v>2014-10｜世界桥牌综合锦标赛｜Mixed Pairs 混合双人｜Bangxiang Zhang – Nan Wang
2016｜世界桥牌运动会｜World National Women Teams 女子国家团体｜CHINA
2017｜世界桥牌团体锦标赛｜Venice Cup 女子团体｜CHINA
2018｜世界桥牌综合锦标赛｜Women Pairs 女子双人｜Yan Huang – Nan Wang
另有2条，见个人奖牌榜明细</x:v>
      </x:c>
      <x:c r="G87" s="16" t="str">
        <x:v>https://news.qq.com/rain/a/20250828A04GG700</x:v>
      </x:c>
      <x:c r="H87" s="16" t="str">
        <x:v>https://www.wbfmasterpoints.com/Medalsreport.asp
https://www.worldbridge.org/2025/08/congratulations-to-the-champions/</x:v>
      </x:c>
      <x:c r="I87" s="16" t="str">
        <x:v>仍可能存在WBF名序、空格或旧库拼写差异；以所列中文资料和赛事上下文为判断基础。</x:v>
      </x:c>
      <x:c r="J87" s="17" t="n">
        <x:v>6</x:v>
      </x:c>
    </x:row>
    <x:row r="88">
      <x:c r="A88" s="36" t="str">
        <x:v>Ningyu Lang</x:v>
      </x:c>
      <x:c r="B88" s="61" t="str">
        <x:v>郎宁宇</x:v>
      </x:c>
      <x:c r="C88" s="61" t="str">
        <x:v>高</x:v>
      </x:c>
      <x:c r="D88" s="36" t="str">
        <x:v>国内中文名单/报道 + WBF阵容交叉</x:v>
      </x:c>
      <x:c r="E88" s="35" t="str">
        <x:v>WBF登记为“Ningyu Lang”；国内桥牌资讯中出现“郎宁宇”，并用同届比赛、队伍/搭档和活动时间交叉，拼音与中文姓名可形成较唯一对应。</x:v>
      </x:c>
      <x:c r="F88" s="35" t="str">
        <x:v>2019-08-20—2019-08-29｜第6届世界青年公开锦标赛｜U16 Teams｜SXMARS</x:v>
      </x:c>
      <x:c r="G88" s="35" t="str">
        <x:v>https://sports.sina.cn/others/qipai/2020-07-07/detail-iirczymm1038498.d.html?vt=4</x:v>
      </x:c>
      <x:c r="H88" s="35" t="str">
        <x:v>https://www.worldbridge.org/2019/08/6th-world-youth-open-championships-the-teams-and-bam-winners/</x:v>
      </x:c>
      <x:c r="I88" s="35" t="str">
        <x:v>仍可能存在WBF名序、空格或旧库拼写差异；以所列中文资料和赛事上下文为判断基础。</x:v>
      </x:c>
      <x:c r="J88" s="36" t="n">
        <x:v>1</x:v>
      </x:c>
    </x:row>
    <x:row r="89">
      <x:c r="A89" s="17" t="str">
        <x:v>Penghao Wang</x:v>
      </x:c>
      <x:c r="B89" s="78" t="str">
        <x:v>王鹏皓</x:v>
      </x:c>
      <x:c r="C89" s="78" t="str">
        <x:v>低</x:v>
      </x:c>
      <x:c r="D89" s="17" t="str">
        <x:v>仅拼音最佳猜测</x:v>
      </x:c>
      <x:c r="E89" s="16" t="str">
        <x:v>WBF登记为“Penghao Wang”；按姓名拼音与中国姓名常见用字给出“王鹏皓”作为可检索候选。未找到能与同届队伍/搭档闭环的国内中文名单。</x:v>
      </x:c>
      <x:c r="F89" s="16" t="str">
        <x:v>2016-08-03—2016-08-13｜世界青年团体锦标赛｜U16 Teams｜CHINA2
2017-08-15—2017-08-24｜第5届世界青年公开锦标赛｜U16 BAM｜SHENGXING SATURN
2017-08-15—2017-08-24｜第5届世界青年公开锦标赛｜U16 Pairs / Kids Pairs｜Licong Cheng – Penghao Wang
2017-08-15—2017-08-24｜第5届世界青年公开锦标赛｜U16 Teams / Kids Teams｜SHENGXING SATURN
另有1条，见个人奖牌榜明细</x:v>
      </x:c>
      <x:c r="G89" s="16" t="str"/>
      <x:c r="H89" s="16" t="str">
        <x:v>https://www.worldbridge.org/competitions/the-world-youth-team-championships/
https://www.worldbridge.org/competitions/the-world-youth-transnational-bridge-championships/
https://db.worldbridge.org/repository/tourn/lyonyouth.17/microsite/Asp/TotalPairs.asp?qtournid=1457&amp;qroundno=3&amp;qgroupno=1
https://www.worldbridge.org/2019/08/6th-world-youth-open-championships-the-teams-and-bam-winners/</x:v>
      </x:c>
      <x:c r="I89" s="16" t="str">
        <x:v>姓氏同音（如 Yu=于/余/俞）及名字同音字均可能；不能视为身份确认。</x:v>
      </x:c>
      <x:c r="J89" s="17" t="n">
        <x:v>5</x:v>
      </x:c>
    </x:row>
    <x:row r="90">
      <x:c r="A90" s="36" t="str">
        <x:v>Pengqiao Qu</x:v>
      </x:c>
      <x:c r="B90" s="61" t="str">
        <x:v>曲鹏桥</x:v>
      </x:c>
      <x:c r="C90" s="61" t="str">
        <x:v>高</x:v>
      </x:c>
      <x:c r="D90" s="36" t="str">
        <x:v>国内中文名单/报道 + WBF阵容交叉</x:v>
      </x:c>
      <x:c r="E90" s="35" t="str">
        <x:v>WBF登记为“Pengqiao Qu”；国内桥牌资讯中出现“曲鹏桥”，并用同届比赛、队伍/搭档和活动时间交叉，拼音与中文姓名可形成较唯一对应。</x:v>
      </x:c>
      <x:c r="F90" s="35" t="str">
        <x:v>2026-08-03—2026-08-08｜第9届世界青年跨国锦标赛｜U31 Teams｜AGOOFANS</x:v>
      </x:c>
      <x:c r="G90" s="35" t="str">
        <x:v>https://www.xxbridge.com/M.aspx?m=1913&amp;n=6&amp;r=50&amp;t=2</x:v>
      </x:c>
      <x:c r="H90" s="35" t="str">
        <x:v>https://db.worldbridge.org/Repository/tourn/hefei.26/microsite/results.htm</x:v>
      </x:c>
      <x:c r="I90" s="35" t="str">
        <x:v>仍可能存在WBF名序、空格或旧库拼写差异；以所列中文资料和赛事上下文为判断基础。</x:v>
      </x:c>
      <x:c r="J90" s="36" t="n">
        <x:v>1</x:v>
      </x:c>
    </x:row>
    <x:row r="91">
      <x:c r="A91" s="17" t="str">
        <x:v>Ping Wang</x:v>
      </x:c>
      <x:c r="B91" s="67" t="str">
        <x:v>王萍</x:v>
      </x:c>
      <x:c r="C91" s="67" t="str">
        <x:v>中</x:v>
      </x:c>
      <x:c r="D91" s="17" t="str">
        <x:v>赛事时间、队伍/搭档与拼音交叉</x:v>
      </x:c>
      <x:c r="E91" s="16" t="str">
        <x:v>WBF登记为“Ping Wang”；结合所列赛事年代、年龄组、队伍/搭档与国内常见写法，最佳候选为“王萍”。尚缺一份能同时列出英文拼音与中文全名的直接名单。</x:v>
      </x:c>
      <x:c r="F91" s="16" t="str">
        <x:v>2015｜世界桥牌团体锦标赛｜Transnational Open Teams 跨国公开团体｜TRANSNATIONAL TEAM</x:v>
      </x:c>
      <x:c r="G91" s="16" t="str"/>
      <x:c r="H91" s="16" t="str">
        <x:v>https://www.wbfmasterpoints.com/Medalsreport.asp</x:v>
      </x:c>
      <x:c r="I91" s="16" t="str">
        <x:v>汉字可能有同音替代，故标为中确定度；国内资料栏不填，避免把间接报道当成直接证据。</x:v>
      </x:c>
      <x:c r="J91" s="17" t="n">
        <x:v>1</x:v>
      </x:c>
    </x:row>
    <x:row r="92">
      <x:c r="A92" s="36" t="str">
        <x:v>Qi Shen</x:v>
      </x:c>
      <x:c r="B92" s="61" t="str">
        <x:v>沈琦</x:v>
      </x:c>
      <x:c r="C92" s="61" t="str">
        <x:v>高</x:v>
      </x:c>
      <x:c r="D92" s="36" t="str">
        <x:v>国内中文名单/报道 + WBF阵容交叉</x:v>
      </x:c>
      <x:c r="E92" s="35" t="str">
        <x:v>WBF登记为“Qi Shen”；国内桥牌资讯中出现“沈琦”，并用同届比赛、队伍/搭档和活动时间交叉，拼音与中文姓名可形成较唯一对应。</x:v>
      </x:c>
      <x:c r="F92" s="35" t="str">
        <x:v>2016｜世界桥牌运动会｜World National Women Teams 女子国家团体｜CHINA
2017｜世界桥牌团体锦标赛｜Venice Cup 女子团体｜CHINA
2019-09｜世界桥牌团体锦标赛｜Venice Cup 女子团体｜CHINA</x:v>
      </x:c>
      <x:c r="G92" s="35" t="str">
        <x:v>https://sports.sina.cn/others/qipai/2020-07-07/detail-iirczymm1038498.d.html?vt=4</x:v>
      </x:c>
      <x:c r="H92" s="35" t="str">
        <x:v>https://www.wbfmasterpoints.com/Medalsreport.asp</x:v>
      </x:c>
      <x:c r="I92" s="35" t="str">
        <x:v>仍可能存在WBF名序、空格或旧库拼写差异；以所列中文资料和赛事上下文为判断基础。</x:v>
      </x:c>
      <x:c r="J92" s="36" t="n">
        <x:v>3</x:v>
      </x:c>
    </x:row>
    <x:row r="93">
      <x:c r="A93" s="17" t="str">
        <x:v>Qi Song</x:v>
      </x:c>
      <x:c r="B93" s="78" t="str">
        <x:v>宋琦</x:v>
      </x:c>
      <x:c r="C93" s="78" t="str">
        <x:v>低</x:v>
      </x:c>
      <x:c r="D93" s="17" t="str">
        <x:v>仅拼音最佳猜测</x:v>
      </x:c>
      <x:c r="E93" s="16" t="str">
        <x:v>WBF登记为“Qi Song”；按姓名拼音与中国姓名常见用字给出“宋琦”作为可检索候选。未找到能与同届队伍/搭档闭环的国内中文名单。</x:v>
      </x:c>
      <x:c r="F93" s="16" t="str">
        <x:v>2008-10-03—2008-10-18｜第1届世界智力运动会 / 世界桥牌运动会｜U21 Teams 青年团体｜CHINA</x:v>
      </x:c>
      <x:c r="G93" s="16" t="str"/>
      <x:c r="H93" s="16" t="str">
        <x:v>https://db.worldbridge.org/repository/tourn/Beijing.08/Beijing.htm</x:v>
      </x:c>
      <x:c r="I93" s="16" t="str">
        <x:v>姓氏同音（如 Yu=于/余/俞）及名字同音字均可能；不能视为身份确认。</x:v>
      </x:c>
      <x:c r="J93" s="17" t="n">
        <x:v>1</x:v>
      </x:c>
    </x:row>
    <x:row r="94">
      <x:c r="A94" s="36" t="str">
        <x:v>Qi Xia</x:v>
      </x:c>
      <x:c r="B94" s="78" t="str">
        <x:v>夏琪</x:v>
      </x:c>
      <x:c r="C94" s="78" t="str">
        <x:v>低</x:v>
      </x:c>
      <x:c r="D94" s="36" t="str">
        <x:v>仅拼音最佳猜测</x:v>
      </x:c>
      <x:c r="E94" s="35" t="str">
        <x:v>WBF登记为“Qi Xia”；按姓名拼音与中国姓名常见用字给出“夏琪”作为可检索候选。未找到能与同届队伍/搭档闭环的国内中文名单。</x:v>
      </x:c>
      <x:c r="F94" s="35" t="str">
        <x:v>2015-08-20—2015-08-29｜第4届世界青年公开锦标赛｜U26 Women Teams / Girls Teams｜CHINA RDFZ GIRLS</x:v>
      </x:c>
      <x:c r="G94" s="35" t="str"/>
      <x:c r="H94" s="35" t="str">
        <x:v>https://db.worldbridge.org/Repository/tourn/Opatija.15/Microsite/Results.htm</x:v>
      </x:c>
      <x:c r="I94" s="35" t="str">
        <x:v>姓氏同音（如 Yu=于/余/俞）及名字同音字均可能；不能视为身份确认。</x:v>
      </x:c>
      <x:c r="J94" s="36" t="n">
        <x:v>1</x:v>
      </x:c>
    </x:row>
    <x:row r="95">
      <x:c r="A95" s="17" t="str">
        <x:v>Qian Sun</x:v>
      </x:c>
      <x:c r="B95" s="78" t="str">
        <x:v>孙倩</x:v>
      </x:c>
      <x:c r="C95" s="78" t="str">
        <x:v>低</x:v>
      </x:c>
      <x:c r="D95" s="17" t="str">
        <x:v>仅拼音最佳猜测</x:v>
      </x:c>
      <x:c r="E95" s="16" t="str">
        <x:v>WBF登记为“Qian Sun”；按姓名拼音与中国姓名常见用字给出“孙倩”作为可检索候选。未找到能与同届队伍/搭档闭环的国内中文名单。</x:v>
      </x:c>
      <x:c r="F95" s="16" t="str">
        <x:v>2018-08-08—2018-08-18｜世界青年团体锦标赛｜Youth BAM｜CHINA YOUNGSTERS</x:v>
      </x:c>
      <x:c r="G95" s="16" t="str"/>
      <x:c r="H95" s="16" t="str">
        <x:v>https://www.worldbridge.org/competitions/the-world-youth-team-championships/</x:v>
      </x:c>
      <x:c r="I95" s="16" t="str">
        <x:v>姓氏同音（如 Yu=于/余/俞）及名字同音字均可能；不能视为身份确认。</x:v>
      </x:c>
      <x:c r="J95" s="17" t="n">
        <x:v>1</x:v>
      </x:c>
    </x:row>
    <x:row r="96">
      <x:c r="A96" s="36" t="str">
        <x:v>Qihao Wu</x:v>
      </x:c>
      <x:c r="B96" s="78" t="str">
        <x:v>吴启昊</x:v>
      </x:c>
      <x:c r="C96" s="78" t="str">
        <x:v>低</x:v>
      </x:c>
      <x:c r="D96" s="36" t="str">
        <x:v>仅拼音最佳猜测</x:v>
      </x:c>
      <x:c r="E96" s="35" t="str">
        <x:v>WBF登记为“Qihao Wu”；按姓名拼音与中国姓名常见用字给出“吴启昊”作为可检索候选。未找到能与同届队伍/搭档闭环的国内中文名单。</x:v>
      </x:c>
      <x:c r="F96" s="35" t="str">
        <x:v>2014-08-13—2014-08-23｜世界青年团体锦标赛｜U26 Women Teams｜CHINA</x:v>
      </x:c>
      <x:c r="G96" s="35" t="str"/>
      <x:c r="H96" s="35" t="str">
        <x:v>https://www.worldbridge.org/competitions/the-world-youth-team-championships/</x:v>
      </x:c>
      <x:c r="I96" s="35" t="str">
        <x:v>姓氏同音（如 Yu=于/余/俞）及名字同音字均可能；不能视为身份确认。</x:v>
      </x:c>
      <x:c r="J96" s="36" t="n">
        <x:v>1</x:v>
      </x:c>
    </x:row>
    <x:row r="97">
      <x:c r="A97" s="17" t="str">
        <x:v>Qinghong Zhou</x:v>
      </x:c>
      <x:c r="B97" s="67" t="str">
        <x:v>周庆红</x:v>
      </x:c>
      <x:c r="C97" s="67" t="str">
        <x:v>中</x:v>
      </x:c>
      <x:c r="D97" s="17" t="str">
        <x:v>赛事时间、队伍/搭档与拼音交叉</x:v>
      </x:c>
      <x:c r="E97" s="16" t="str">
        <x:v>WBF登记为“Qinghong Zhou”；结合所列赛事年代、年龄组、队伍/搭档与国内常见写法，最佳候选为“周庆红”。尚缺一份能同时列出英文拼音与中文全名的直接名单。</x:v>
      </x:c>
      <x:c r="F97" s="16" t="str">
        <x:v>2004｜世界桥牌奥林匹克赛｜Transnational Mixed Teams 跨国混合团体｜CHINA</x:v>
      </x:c>
      <x:c r="G97" s="16" t="str"/>
      <x:c r="H97" s="16" t="str">
        <x:v>https://www.wbfmasterpoints.com/Medalsreport.asp</x:v>
      </x:c>
      <x:c r="I97" s="16" t="str">
        <x:v>汉字可能有同音替代，故标为中确定度；国内资料栏不填，避免把间接报道当成直接证据。</x:v>
      </x:c>
      <x:c r="J97" s="17" t="n">
        <x:v>1</x:v>
      </x:c>
    </x:row>
    <x:row r="98">
      <x:c r="A98" s="36" t="str">
        <x:v>Randy Pan</x:v>
      </x:c>
      <x:c r="B98" s="80" t="str"/>
      <x:c r="C98" s="80" t="str">
        <x:v>空白</x:v>
      </x:c>
      <x:c r="D98" s="36" t="str">
        <x:v>无法可靠推断</x:v>
      </x:c>
      <x:c r="E98" s="35" t="str">
        <x:v>WBF登记为“Randy Pan”；现有公开资料不足以在多个中文写法之间做可靠选择，因此留空。</x:v>
      </x:c>
      <x:c r="F98" s="35" t="str">
        <x:v>2014-08-13—2014-08-23｜世界青年团体锦标赛｜U16 Teams｜CHINA
2015-08-20—2015-08-29｜第4届世界青年公开锦标赛｜U16 Teams / Kids Teams｜CHINA RDFZ1
2017-08-15—2017-08-24｜第5届世界青年公开锦标赛｜U21 Teams / Youngsters Teams｜CHINA
2018-08-08—2018-08-18｜世界青年团体锦标赛｜Youth BAM｜CHINA YOUNGSTERS</x:v>
      </x:c>
      <x:c r="G98" s="35" t="str"/>
      <x:c r="H98" s="35" t="str">
        <x:v>https://www.worldbridge.org/competitions/the-world-youth-team-championships/
https://www.worldbridge.org/competitions/the-world-youth-transnational-bridge-championships/
https://db.worldbridge.org/repository/tourn/lyonyouth.17/microsite/results.htm</x:v>
      </x:c>
      <x:c r="I98" s="35" t="str">
        <x:v>可能含英文名、昵称、旧库拼写或多组同音汉字。</x:v>
      </x:c>
      <x:c r="J98" s="36" t="n">
        <x:v>4</x:v>
      </x:c>
    </x:row>
    <x:row r="99">
      <x:c r="A99" s="17" t="str">
        <x:v>Renyu Li</x:v>
      </x:c>
      <x:c r="B99" s="61" t="str">
        <x:v>李仁宇</x:v>
      </x:c>
      <x:c r="C99" s="61" t="str">
        <x:v>高</x:v>
      </x:c>
      <x:c r="D99" s="17" t="str">
        <x:v>国内中文名单/报道 + WBF阵容交叉</x:v>
      </x:c>
      <x:c r="E99" s="16" t="str">
        <x:v>WBF登记为“Renyu Li”；国内桥牌资讯中出现“李仁宇”，并用同届比赛、队伍/搭档和活动时间交叉，拼音与中文姓名可形成较唯一对应。</x:v>
      </x:c>
      <x:c r="F99" s="16" t="str">
        <x:v>2015-08-20—2015-08-29｜第4届世界青年公开锦标赛｜U16 Teams / Kids Teams｜SX HYSW</x:v>
      </x:c>
      <x:c r="G99" s="16" t="str">
        <x:v>https://www.chinanews.com/ty/2015/04-01/7177669.shtml</x:v>
      </x:c>
      <x:c r="H99" s="16" t="str">
        <x:v>https://www.worldbridge.org/competitions/the-world-youth-transnational-bridge-championships/</x:v>
      </x:c>
      <x:c r="I99" s="16" t="str">
        <x:v>仍可能存在WBF名序、空格或旧库拼写差异；以所列中文资料和赛事上下文为判断基础。</x:v>
      </x:c>
      <x:c r="J99" s="17" t="n">
        <x:v>1</x:v>
      </x:c>
    </x:row>
    <x:row r="100">
      <x:c r="A100" s="36" t="str">
        <x:v>Rongqiang Lin</x:v>
      </x:c>
      <x:c r="B100" s="61" t="str">
        <x:v>林荣强</x:v>
      </x:c>
      <x:c r="C100" s="61" t="str">
        <x:v>高</x:v>
      </x:c>
      <x:c r="D100" s="36" t="str">
        <x:v>国内中文名单/报道 + WBF阵容交叉</x:v>
      </x:c>
      <x:c r="E100" s="35" t="str">
        <x:v>WBF登记为“Rongqiang Lin”；国内桥牌资讯中出现“林荣强”，并用同届比赛、队伍/搭档和活动时间交叉，拼音与中文姓名可形成较唯一对应。</x:v>
      </x:c>
      <x:c r="F100" s="35" t="str">
        <x:v>2008-10-03—2008-10-18｜第1届世界智力运动会 / 世界桥牌运动会｜Transnational Mixed Teams 跨国混合团体｜A-EVERTRUST HOLDING GROUP
2018｜世界桥牌综合锦标赛｜World Senior Teams 老年团体｜CHINA</x:v>
      </x:c>
      <x:c r="G100" s="35" t="str">
        <x:v>https://sports.sina.cn/others/qipai/2020-07-07/detail-iirczymm1038498.d.html?vt=4</x:v>
      </x:c>
      <x:c r="H100" s="35" t="str">
        <x:v>https://db.worldbridge.org/repository/tourn/Beijing.08/Beijing.htm
https://www.wbfmasterpoints.com/Medalsreport.asp</x:v>
      </x:c>
      <x:c r="I100" s="35" t="str">
        <x:v>仍可能存在WBF名序、空格或旧库拼写差异；以所列中文资料和赛事上下文为判断基础。</x:v>
      </x:c>
      <x:c r="J100" s="36" t="n">
        <x:v>2</x:v>
      </x:c>
    </x:row>
    <x:row r="101">
      <x:c r="A101" s="17" t="str">
        <x:v>Ru Yan</x:v>
      </x:c>
      <x:c r="B101" s="61" t="str">
        <x:v>阎茹</x:v>
      </x:c>
      <x:c r="C101" s="61" t="str">
        <x:v>高</x:v>
      </x:c>
      <x:c r="D101" s="17" t="str">
        <x:v>国内中文名单/报道 + WBF阵容交叉</x:v>
      </x:c>
      <x:c r="E101" s="16" t="str">
        <x:v>WBF登记为“Ru Yan”；国内桥牌资讯中出现“阎茹”，并用同届比赛、队伍/搭档和活动时间交叉，拼音与中文姓名可形成较唯一对应。</x:v>
      </x:c>
      <x:c r="F101" s="16" t="str">
        <x:v>2008-10-03—2008-10-18｜第1届世界智力运动会 / 世界桥牌运动会｜World Masters Individual Women 女子个人｜个人
2009-08-29—2009-09-12｜世界桥牌团体锦标赛｜Venice Cup 女子团体｜CHINA LONG ZHU</x:v>
      </x:c>
      <x:c r="G101" s="16" t="str">
        <x:v>https://sports.sina.cn/others/qipai/2020-07-07/detail-iirczymm1038498.d.html?vt=4</x:v>
      </x:c>
      <x:c r="H101" s="16" t="str">
        <x:v>https://db.worldbridge.org/repository/tourn/Beijing.08/Beijing.htm
https://db.worldbridge.org/Repository/tourn/SaoPaulo.09/SaoPaulo.htm</x:v>
      </x:c>
      <x:c r="I101" s="16" t="str">
        <x:v>仍可能存在WBF名序、空格或旧库拼写差异；以所列中文资料和赛事上下文为判断基础。</x:v>
      </x:c>
      <x:c r="J101" s="17" t="n">
        <x:v>2</x:v>
      </x:c>
    </x:row>
    <x:row r="102">
      <x:c r="A102" s="36" t="str">
        <x:v>Rui Li</x:v>
      </x:c>
      <x:c r="B102" s="67" t="str">
        <x:v>李锐</x:v>
      </x:c>
      <x:c r="C102" s="67" t="str">
        <x:v>中</x:v>
      </x:c>
      <x:c r="D102" s="36" t="str">
        <x:v>赛事时间、队伍/搭档与拼音交叉</x:v>
      </x:c>
      <x:c r="E102" s="35" t="str">
        <x:v>WBF登记为“Rui Li”；结合所列赛事年代、年龄组、队伍/搭档与国内常见写法，最佳候选为“李锐”。尚缺一份能同时列出英文拼音与中文全名的直接名单。</x:v>
      </x:c>
      <x:c r="F102" s="35" t="str">
        <x:v>2019-09｜世界桥牌团体锦标赛｜Transnational Open Teams 跨国公开团体｜CHINA</x:v>
      </x:c>
      <x:c r="G102" s="35" t="str"/>
      <x:c r="H102" s="35" t="str">
        <x:v>https://www.wbfmasterpoints.com/Medalsreport.asp</x:v>
      </x:c>
      <x:c r="I102" s="35" t="str">
        <x:v>汉字可能有同音替代，故标为中确定度；国内资料栏不填，避免把间接报道当成直接证据。</x:v>
      </x:c>
      <x:c r="J102" s="36" t="n">
        <x:v>1</x:v>
      </x:c>
    </x:row>
    <x:row r="103">
      <x:c r="A103" s="17" t="str">
        <x:v>Ruicheng Mao</x:v>
      </x:c>
      <x:c r="B103" s="78" t="str">
        <x:v>毛瑞成</x:v>
      </x:c>
      <x:c r="C103" s="78" t="str">
        <x:v>低</x:v>
      </x:c>
      <x:c r="D103" s="17" t="str">
        <x:v>仅拼音最佳猜测</x:v>
      </x:c>
      <x:c r="E103" s="16" t="str">
        <x:v>WBF登记为“Ruicheng Mao”；按姓名拼音与中国姓名常见用字给出“毛瑞成”作为可检索候选。未找到能与同届队伍/搭档闭环的国内中文名单。</x:v>
      </x:c>
      <x:c r="F103" s="16" t="str">
        <x:v>2017-08-15—2017-08-24｜第5届世界青年公开锦标赛｜U16 BAM｜SHENGXING VENUS
2017-08-15—2017-08-24｜第5届世界青年公开锦标赛｜U16 Pairs / Kids Pairs｜Ruicheng Mao – Zhaochen Yu
2017-08-15—2017-08-24｜第5届世界青年公开锦标赛｜U16 Teams / Kids Teams｜SHENGXING VENUS</x:v>
      </x:c>
      <x:c r="G103" s="16" t="str"/>
      <x:c r="H103" s="16" t="str">
        <x:v>https://www.worldbridge.org/competitions/the-world-youth-transnational-bridge-championships/
https://db.worldbridge.org/repository/tourn/lyonyouth.17/microsite/Asp/TotalPairs.asp?qtournid=1457&amp;qroundno=3&amp;qgroupno=1</x:v>
      </x:c>
      <x:c r="I103" s="16" t="str">
        <x:v>姓氏同音（如 Yu=于/余/俞）及名字同音字均可能；不能视为身份确认。</x:v>
      </x:c>
      <x:c r="J103" s="17" t="n">
        <x:v>3</x:v>
      </x:c>
    </x:row>
    <x:row r="104">
      <x:c r="A104" s="36" t="str">
        <x:v>Ruizhe Wang</x:v>
      </x:c>
      <x:c r="B104" s="78" t="str">
        <x:v>王睿哲</x:v>
      </x:c>
      <x:c r="C104" s="78" t="str">
        <x:v>低</x:v>
      </x:c>
      <x:c r="D104" s="36" t="str">
        <x:v>仅拼音最佳猜测</x:v>
      </x:c>
      <x:c r="E104" s="35" t="str">
        <x:v>WBF登记为“Ruizhe Wang”；按姓名拼音与中国姓名常见用字给出“王睿哲”作为可检索候选。未找到能与同届队伍/搭档闭环的国内中文名单。</x:v>
      </x:c>
      <x:c r="F104" s="35" t="str">
        <x:v>2015-08-20—2015-08-29｜第4届世界青年公开锦标赛｜U16 Teams / Kids Teams｜SX XNWY
2016-08-03—2016-08-13｜世界青年团体锦标赛｜U16 Teams｜CHINA2
2017-08-15—2017-08-24｜第5届世界青年公开锦标赛｜U16 BAM｜SHENGXING SATURN
2017-08-15—2017-08-24｜第5届世界青年公开锦标赛｜U16 Teams / Kids Teams｜SHENGXING SATURN</x:v>
      </x:c>
      <x:c r="G104" s="35" t="str"/>
      <x:c r="H104" s="35" t="str">
        <x:v>https://www.worldbridge.org/competitions/the-world-youth-transnational-bridge-championships/
https://www.worldbridge.org/competitions/the-world-youth-team-championships/</x:v>
      </x:c>
      <x:c r="I104" s="35" t="str">
        <x:v>姓氏同音（如 Yu=于/余/俞）及名字同音字均可能；不能视为身份确认。</x:v>
      </x:c>
      <x:c r="J104" s="36" t="n">
        <x:v>4</x:v>
      </x:c>
    </x:row>
    <x:row r="105">
      <x:c r="A105" s="17" t="str">
        <x:v>Ruo Fei Ma</x:v>
      </x:c>
      <x:c r="B105" s="78" t="str">
        <x:v>马若菲</x:v>
      </x:c>
      <x:c r="C105" s="78" t="str">
        <x:v>低</x:v>
      </x:c>
      <x:c r="D105" s="17" t="str">
        <x:v>仅拼音最佳猜测</x:v>
      </x:c>
      <x:c r="E105" s="16" t="str">
        <x:v>WBF登记为“Ruo Fei Ma”；按姓名拼音与中国姓名常见用字给出“马若菲”作为可检索候选。未找到能与同届队伍/搭档闭环的国内中文名单。</x:v>
      </x:c>
      <x:c r="F105" s="16" t="str">
        <x:v>2026-08-03—2026-08-08｜第9届世界青年跨国锦标赛｜U26 Women Teams｜SHANDONG YANTAI</x:v>
      </x:c>
      <x:c r="G105" s="16" t="str"/>
      <x:c r="H105" s="16" t="str">
        <x:v>https://db.worldbridge.org/Repository/tourn/hefei.26/microsite/results.htm</x:v>
      </x:c>
      <x:c r="I105" s="16" t="str">
        <x:v>姓氏同音（如 Yu=于/余/俞）及名字同音字均可能；不能视为身份确认。</x:v>
      </x:c>
      <x:c r="J105" s="17" t="n">
        <x:v>1</x:v>
      </x:c>
    </x:row>
    <x:row r="106">
      <x:c r="A106" s="36" t="str">
        <x:v>Ruohan Liu</x:v>
      </x:c>
      <x:c r="B106" s="78" t="str">
        <x:v>刘若涵</x:v>
      </x:c>
      <x:c r="C106" s="78" t="str">
        <x:v>低</x:v>
      </x:c>
      <x:c r="D106" s="36" t="str">
        <x:v>仅拼音最佳猜测</x:v>
      </x:c>
      <x:c r="E106" s="35" t="str">
        <x:v>WBF登记为“Ruohan Liu”；按姓名拼音与中国姓名常见用字给出“刘若涵”作为可检索候选。未找到能与同届队伍/搭档闭环的国内中文名单。</x:v>
      </x:c>
      <x:c r="F106" s="35" t="str">
        <x:v>2026-08-03—2026-08-08｜第9届世界青年跨国锦标赛｜U26 Women Teams｜SHANDONG YANTAI</x:v>
      </x:c>
      <x:c r="G106" s="35" t="str"/>
      <x:c r="H106" s="35" t="str">
        <x:v>https://db.worldbridge.org/Repository/tourn/hefei.26/microsite/results.htm</x:v>
      </x:c>
      <x:c r="I106" s="35" t="str">
        <x:v>姓氏同音（如 Yu=于/余/俞）及名字同音字均可能；不能视为身份确认。</x:v>
      </x:c>
      <x:c r="J106" s="36" t="n">
        <x:v>1</x:v>
      </x:c>
    </x:row>
    <x:row r="107">
      <x:c r="A107" s="17" t="str">
        <x:v>Shangjie Wu</x:v>
      </x:c>
      <x:c r="B107" s="67" t="str">
        <x:v>吴尚杰</x:v>
      </x:c>
      <x:c r="C107" s="67" t="str">
        <x:v>中</x:v>
      </x:c>
      <x:c r="D107" s="17" t="str">
        <x:v>赛事时间、队伍/搭档与拼音交叉</x:v>
      </x:c>
      <x:c r="E107" s="16" t="str">
        <x:v>WBF登记为“Shangjie Wu”；结合所列赛事年代、年龄组、队伍/搭档与国内常见写法，最佳候选为“吴尚杰”。尚缺一份能同时列出英文拼音与中文全名的直接名单。</x:v>
      </x:c>
      <x:c r="F107" s="16" t="str">
        <x:v>2019-09｜世界桥牌团体锦标赛｜Transnational Open Teams 跨国公开团体｜CHINA</x:v>
      </x:c>
      <x:c r="G107" s="16" t="str"/>
      <x:c r="H107" s="16" t="str">
        <x:v>https://www.wbfmasterpoints.com/Medalsreport.asp</x:v>
      </x:c>
      <x:c r="I107" s="16" t="str">
        <x:v>汉字可能有同音替代，故标为中确定度；国内资料栏不填，避免把间接报道当成直接证据。</x:v>
      </x:c>
      <x:c r="J107" s="17" t="n">
        <x:v>1</x:v>
      </x:c>
    </x:row>
    <x:row r="108">
      <x:c r="A108" s="36" t="str">
        <x:v>Shaohong Wu</x:v>
      </x:c>
      <x:c r="B108" s="61" t="str">
        <x:v>伍少红</x:v>
      </x:c>
      <x:c r="C108" s="61" t="str">
        <x:v>高</x:v>
      </x:c>
      <x:c r="D108" s="36" t="str">
        <x:v>国内中文名单/报道 + WBF阵容交叉</x:v>
      </x:c>
      <x:c r="E108" s="35" t="str">
        <x:v>WBF登记为“Shaohong Wu”；国内桥牌资讯中出现“伍少红”，并用同届比赛、队伍/搭档和活动时间交叉，拼音与中文姓名可形成较唯一对应。</x:v>
      </x:c>
      <x:c r="F108" s="35" t="str">
        <x:v>2014-10｜世界桥牌综合锦标赛｜Women Teams 女子团体｜CHINA</x:v>
      </x:c>
      <x:c r="G108" s="35" t="str">
        <x:v>https://www.ourgame.com/arranghtml/news7.html</x:v>
      </x:c>
      <x:c r="H108" s="35" t="str">
        <x:v>https://www.wbfmasterpoints.com/Medalsreport.asp</x:v>
      </x:c>
      <x:c r="I108" s="35" t="str">
        <x:v>仍可能存在WBF名序、空格或旧库拼写差异；以所列中文资料和赛事上下文为判断基础。</x:v>
      </x:c>
      <x:c r="J108" s="36" t="n">
        <x:v>1</x:v>
      </x:c>
    </x:row>
    <x:row r="109">
      <x:c r="A109" s="17" t="str">
        <x:v>Shaolin Sun</x:v>
      </x:c>
      <x:c r="B109" s="61" t="str">
        <x:v>孙少林</x:v>
      </x:c>
      <x:c r="C109" s="61" t="str">
        <x:v>高</x:v>
      </x:c>
      <x:c r="D109" s="17" t="str">
        <x:v>国内中文名单/报道 + WBF阵容交叉</x:v>
      </x:c>
      <x:c r="E109" s="16" t="str">
        <x:v>WBF登记为“Shaolin Sun”；国内桥牌资讯中出现“孙少林”，并用同届比赛、队伍/搭档和活动时间交叉，拼音与中文姓名可形成较唯一对应。</x:v>
      </x:c>
      <x:c r="F109" s="16" t="str">
        <x:v>2019-09｜世界桥牌团体锦标赛｜Transnational Open Teams 跨国公开团体｜CHINA</x:v>
      </x:c>
      <x:c r="G109" s="16" t="str">
        <x:v>https://sports.sina.cn/others/qipai/2020-07-07/detail-iirczymm1038498.d.html?vt=4</x:v>
      </x:c>
      <x:c r="H109" s="16" t="str">
        <x:v>https://www.wbfmasterpoints.com/Medalsreport.asp</x:v>
      </x:c>
      <x:c r="I109" s="16" t="str">
        <x:v>仍可能存在WBF名序、空格或旧库拼写差异；以所列中文资料和赛事上下文为判断基础。</x:v>
      </x:c>
      <x:c r="J109" s="17" t="n">
        <x:v>1</x:v>
      </x:c>
    </x:row>
    <x:row r="110">
      <x:c r="A110" s="36" t="str">
        <x:v>Shengle Zhang</x:v>
      </x:c>
      <x:c r="B110" s="61" t="str">
        <x:v>张胜乐</x:v>
      </x:c>
      <x:c r="C110" s="61" t="str">
        <x:v>高</x:v>
      </x:c>
      <x:c r="D110" s="36" t="str">
        <x:v>国内中文名单/报道 + WBF阵容交叉</x:v>
      </x:c>
      <x:c r="E110" s="35" t="str">
        <x:v>WBF登记为“Shengle Zhang”；国内桥牌资讯中出现“张胜乐”，并用同届比赛、队伍/搭档和活动时间交叉，拼音与中文姓名可形成较唯一对应。</x:v>
      </x:c>
      <x:c r="F110" s="35" t="str">
        <x:v>2019-09｜世界桥牌团体锦标赛｜Transnational Open Teams 跨国公开团体｜CHINA</x:v>
      </x:c>
      <x:c r="G110" s="35" t="str">
        <x:v>https://sports.sina.cn/others/qipai/2020-07-07/detail-iirczymm1038498.d.html?vt=4</x:v>
      </x:c>
      <x:c r="H110" s="35" t="str">
        <x:v>https://www.wbfmasterpoints.com/Medalsreport.asp</x:v>
      </x:c>
      <x:c r="I110" s="35" t="str">
        <x:v>仍可能存在WBF名序、空格或旧库拼写差异；以所列中文资料和赛事上下文为判断基础。</x:v>
      </x:c>
      <x:c r="J110" s="36" t="n">
        <x:v>1</x:v>
      </x:c>
    </x:row>
    <x:row r="111">
      <x:c r="A111" s="17" t="str">
        <x:v>Shengyue Gui</x:v>
      </x:c>
      <x:c r="B111" s="61" t="str">
        <x:v>桂生悦</x:v>
      </x:c>
      <x:c r="C111" s="61" t="str">
        <x:v>高</x:v>
      </x:c>
      <x:c r="D111" s="17" t="str">
        <x:v>国内中文名单/报道 + WBF阵容交叉</x:v>
      </x:c>
      <x:c r="E111" s="16" t="str">
        <x:v>WBF登记为“Shengyue Gui”；国内桥牌资讯中出现“桂生悦”，并用同届比赛、队伍/搭档和活动时间交叉，拼音与中文姓名可形成较唯一对应。</x:v>
      </x:c>
      <x:c r="F111" s="16" t="str">
        <x:v>2014-10｜世界桥牌综合锦标赛｜Mixed Teams 混合团体｜CHINA</x:v>
      </x:c>
      <x:c r="G111" s="16" t="str">
        <x:v>https://www.ourgame.com/arranghtml/news7.html</x:v>
      </x:c>
      <x:c r="H111" s="16" t="str">
        <x:v>https://www.wbfmasterpoints.com/Medalsreport.asp</x:v>
      </x:c>
      <x:c r="I111" s="16" t="str">
        <x:v>仍可能存在WBF名序、空格或旧库拼写差异；以所列中文资料和赛事上下文为判断基础。</x:v>
      </x:c>
      <x:c r="J111" s="17" t="n">
        <x:v>1</x:v>
      </x:c>
    </x:row>
    <x:row r="112">
      <x:c r="A112" s="36" t="str">
        <x:v>Shi Qiu</x:v>
      </x:c>
      <x:c r="B112" s="78" t="str">
        <x:v>邱实</x:v>
      </x:c>
      <x:c r="C112" s="78" t="str">
        <x:v>低</x:v>
      </x:c>
      <x:c r="D112" s="36" t="str">
        <x:v>仅拼音最佳猜测</x:v>
      </x:c>
      <x:c r="E112" s="35" t="str">
        <x:v>WBF登记为“Shi Qiu”；按姓名拼音与中国姓名常见用字给出“邱实”作为可检索候选。未找到能与同届队伍/搭档闭环的国内中文名单。</x:v>
      </x:c>
      <x:c r="F112" s="35" t="str">
        <x:v>2015-08-20—2015-08-29｜第4届世界青年公开锦标赛｜U16 Teams / Kids Teams｜CHINA RDFZ1
2017-08-15—2017-08-24｜第5届世界青年公开锦标赛｜U21 Teams / Youngsters Teams｜CHINA</x:v>
      </x:c>
      <x:c r="G112" s="35" t="str"/>
      <x:c r="H112" s="35" t="str">
        <x:v>https://www.worldbridge.org/competitions/the-world-youth-transnational-bridge-championships/
https://db.worldbridge.org/repository/tourn/lyonyouth.17/microsite/results.htm</x:v>
      </x:c>
      <x:c r="I112" s="35" t="str">
        <x:v>姓氏同音（如 Yu=于/余/俞）及名字同音字均可能；不能视为身份确认。</x:v>
      </x:c>
      <x:c r="J112" s="36" t="n">
        <x:v>2</x:v>
      </x:c>
    </x:row>
    <x:row r="113">
      <x:c r="A113" s="17" t="str">
        <x:v>Shiyi Li</x:v>
      </x:c>
      <x:c r="B113" s="78" t="str">
        <x:v>李诗怡</x:v>
      </x:c>
      <x:c r="C113" s="78" t="str">
        <x:v>低</x:v>
      </x:c>
      <x:c r="D113" s="17" t="str">
        <x:v>仅拼音最佳猜测</x:v>
      </x:c>
      <x:c r="E113" s="16" t="str">
        <x:v>WBF登记为“Shiyi Li”；按姓名拼音与中国姓名常见用字给出“李诗怡”作为可检索候选。未找到能与同届队伍/搭档闭环的国内中文名单。</x:v>
      </x:c>
      <x:c r="F113" s="16" t="str">
        <x:v>2017-08-15—2017-08-24｜第5届世界青年公开锦标赛｜U26 Women Teams / Girls Teams｜SH XIN JIANGNAN TEAM</x:v>
      </x:c>
      <x:c r="G113" s="16" t="str"/>
      <x:c r="H113" s="16" t="str">
        <x:v>https://db.worldbridge.org/repository/tourn/lyonyouth.17/microsite/Asp/knockoutphase.asp?qtournid=1460&amp;qphase=FF</x:v>
      </x:c>
      <x:c r="I113" s="16" t="str">
        <x:v>姓氏同音（如 Yu=于/余/俞）及名字同音字均可能；不能视为身份确认。</x:v>
      </x:c>
      <x:c r="J113" s="17" t="n">
        <x:v>1</x:v>
      </x:c>
    </x:row>
    <x:row r="114">
      <x:c r="A114" s="36" t="str">
        <x:v>Shiyu Sun</x:v>
      </x:c>
      <x:c r="B114" s="61" t="str">
        <x:v>孙世昱</x:v>
      </x:c>
      <x:c r="C114" s="61" t="str">
        <x:v>高</x:v>
      </x:c>
      <x:c r="D114" s="36" t="str">
        <x:v>国内中文名单/报道 + WBF阵容交叉</x:v>
      </x:c>
      <x:c r="E114" s="35" t="str">
        <x:v>WBF登记为“Shiyu Sun”；国内桥牌资讯中出现“孙世昱”，并用同届比赛、队伍/搭档和活动时间交叉，拼音与中文姓名可形成较唯一对应。</x:v>
      </x:c>
      <x:c r="F114" s="35" t="str">
        <x:v>2015-08-20—2015-08-29｜第4届世界青年公开锦标赛｜U21 Pairs｜Hongji Wei – Shiyu Sun
2015-08-20—2015-08-29｜第4届世界青年公开锦标赛｜U21 Teams / Youngsters Teams｜CHINA
2016-08-03—2016-08-13｜世界青年团体锦标赛｜U26 Teams｜CHINA
2019-08-20—2019-08-29｜第6届世界青年公开锦标赛｜U26 Pairs｜Hongji Wei – Shiyu Sun</x:v>
      </x:c>
      <x:c r="G114" s="35" t="str">
        <x:v>https://www.chinanews.com/ty/2015/04-01/7177669.shtml</x:v>
      </x:c>
      <x:c r="H114" s="35" t="str">
        <x:v>https://www.worldbridge.org/competitions/the-world-youth-transnational-bridge-championships/
https://db.worldbridge.org/repository/tourn/opatija.15/Microsite/Results.htm
https://www.worldbridge.org/competitions/the-world-youth-team-championships/
https://www.worldbridge.org/2019/08/6th-world-youth-open-championships-the-pairs-winners/</x:v>
      </x:c>
      <x:c r="I114" s="35" t="str">
        <x:v>仍可能存在WBF名序、空格或旧库拼写差异；以所列中文资料和赛事上下文为判断基础。</x:v>
      </x:c>
      <x:c r="J114" s="36" t="n">
        <x:v>4</x:v>
      </x:c>
    </x:row>
    <x:row r="115">
      <x:c r="A115" s="17" t="str">
        <x:v>Shiyun Mao</x:v>
      </x:c>
      <x:c r="B115" s="78" t="str">
        <x:v>毛诗韵</x:v>
      </x:c>
      <x:c r="C115" s="78" t="str">
        <x:v>低</x:v>
      </x:c>
      <x:c r="D115" s="17" t="str">
        <x:v>仅拼音最佳猜测</x:v>
      </x:c>
      <x:c r="E115" s="16" t="str">
        <x:v>WBF登记为“Shiyun Mao”；按姓名拼音与中国姓名常见用字给出“毛诗韵”作为可检索候选。未找到能与同届队伍/搭档闭环的国内中文名单。</x:v>
      </x:c>
      <x:c r="F115" s="16" t="str">
        <x:v>2017-08-15—2017-08-24｜第5届世界青年公开锦标赛｜U26 Women Teams / Girls Teams｜SH XIN JIANGNAN TEAM</x:v>
      </x:c>
      <x:c r="G115" s="16" t="str"/>
      <x:c r="H115" s="16" t="str">
        <x:v>https://db.worldbridge.org/repository/tourn/lyonyouth.17/microsite/Asp/knockoutphase.asp?qtournid=1460&amp;qphase=FF</x:v>
      </x:c>
      <x:c r="I115" s="16" t="str">
        <x:v>姓氏同音（如 Yu=于/余/俞）及名字同音字均可能；不能视为身份确认。</x:v>
      </x:c>
      <x:c r="J115" s="17" t="n">
        <x:v>1</x:v>
      </x:c>
    </x:row>
    <x:row r="116">
      <x:c r="A116" s="36" t="str">
        <x:v>Shu Liu</x:v>
      </x:c>
      <x:c r="B116" s="61" t="str">
        <x:v>刘姝</x:v>
      </x:c>
      <x:c r="C116" s="61" t="str">
        <x:v>高</x:v>
      </x:c>
      <x:c r="D116" s="36" t="str">
        <x:v>国内中文名单/报道 + WBF阵容交叉</x:v>
      </x:c>
      <x:c r="E116" s="35" t="str">
        <x:v>WBF登记为“Shu Liu”；国内桥牌资讯中出现“刘姝”，并用同届比赛、队伍/搭档和活动时间交叉，拼音与中文姓名可形成较唯一对应。</x:v>
      </x:c>
      <x:c r="F116" s="35" t="str">
        <x:v>2014-10｜世界桥牌综合锦标赛｜Women Pairs 女子双人｜Tao Zhou – Shu Liu</x:v>
      </x:c>
      <x:c r="G116" s="35" t="str">
        <x:v>https://www.ourgame.com/arranghtml/news7.html</x:v>
      </x:c>
      <x:c r="H116" s="35" t="str">
        <x:v>https://www.wbfmasterpoints.com/Medalsreport.asp</x:v>
      </x:c>
      <x:c r="I116" s="35" t="str">
        <x:v>仍可能存在WBF名序、空格或旧库拼写差异；以所列中文资料和赛事上下文为判断基础。</x:v>
      </x:c>
      <x:c r="J116" s="36" t="n">
        <x:v>1</x:v>
      </x:c>
    </x:row>
    <x:row r="117">
      <x:c r="A117" s="17" t="str">
        <x:v>Sicheng Liu</x:v>
      </x:c>
      <x:c r="B117" s="61" t="str">
        <x:v>刘思成</x:v>
      </x:c>
      <x:c r="C117" s="61" t="str">
        <x:v>高</x:v>
      </x:c>
      <x:c r="D117" s="17" t="str">
        <x:v>国内中文名单/报道 + WBF阵容交叉</x:v>
      </x:c>
      <x:c r="E117" s="16" t="str">
        <x:v>WBF登记为“Sicheng Liu”；国内桥牌资讯中出现“刘思成”，并用同届比赛、队伍/搭档和活动时间交叉，拼音与中文姓名可形成较唯一对应。</x:v>
      </x:c>
      <x:c r="F117" s="16" t="str">
        <x:v>2018-08-08—2018-08-18｜世界青年团体锦标赛｜U16 Teams｜CHINA3</x:v>
      </x:c>
      <x:c r="G117" s="16" t="str">
        <x:v>https://sports.sina.cn/others/qipai/2020-07-07/detail-iirczymm1038498.d.html?vt=4</x:v>
      </x:c>
      <x:c r="H117" s="16" t="str">
        <x:v>https://www.worldbridge.org/competitions/the-world-youth-team-championships/</x:v>
      </x:c>
      <x:c r="I117" s="16" t="str">
        <x:v>仍可能存在WBF名序、空格或旧库拼写差异；以所列中文资料和赛事上下文为判断基础。</x:v>
      </x:c>
      <x:c r="J117" s="17" t="n">
        <x:v>1</x:v>
      </x:c>
    </x:row>
    <x:row r="118">
      <x:c r="A118" s="36" t="str">
        <x:v>Sifan Jiang</x:v>
      </x:c>
      <x:c r="B118" s="78" t="str">
        <x:v>蒋思凡</x:v>
      </x:c>
      <x:c r="C118" s="78" t="str">
        <x:v>低</x:v>
      </x:c>
      <x:c r="D118" s="36" t="str">
        <x:v>仅拼音最佳猜测</x:v>
      </x:c>
      <x:c r="E118" s="35" t="str">
        <x:v>WBF登记为“Sifan Jiang”；按姓名拼音与中国姓名常见用字给出“蒋思凡”作为可检索候选。未找到能与同届队伍/搭档闭环的国内中文名单。</x:v>
      </x:c>
      <x:c r="F118" s="35" t="str">
        <x:v>2025-07-12—2025-07-17｜第19届世界青年团体锦标赛｜U26 Women Teams｜CHINA</x:v>
      </x:c>
      <x:c r="G118" s="35" t="str"/>
      <x:c r="H118" s="35" t="str">
        <x:v>https://www.worldbridge.org/2025/07/19th-world-youth-team-championships-the-winners/</x:v>
      </x:c>
      <x:c r="I118" s="35" t="str">
        <x:v>姓氏同音（如 Yu=于/余/俞）及名字同音字均可能；不能视为身份确认。</x:v>
      </x:c>
      <x:c r="J118" s="36" t="n">
        <x:v>1</x:v>
      </x:c>
    </x:row>
    <x:row r="119">
      <x:c r="A119" s="17" t="str">
        <x:v>Sili Liu</x:v>
      </x:c>
      <x:c r="B119" s="61" t="str">
        <x:v>刘思利</x:v>
      </x:c>
      <x:c r="C119" s="61" t="str">
        <x:v>高</x:v>
      </x:c>
      <x:c r="D119" s="17" t="str">
        <x:v>国内中文名单/报道 + WBF阵容交叉</x:v>
      </x:c>
      <x:c r="E119" s="16" t="str">
        <x:v>WBF登记为“Sili Liu”；国内桥牌资讯中出现“刘思利”，并用同届比赛、队伍/搭档和活动时间交叉，拼音与中文姓名可形成较唯一对应。</x:v>
      </x:c>
      <x:c r="F119" s="16" t="str">
        <x:v>2016-08-03—2016-08-13｜世界青年团体锦标赛｜U26 Teams｜CHINA</x:v>
      </x:c>
      <x:c r="G119" s="16" t="str">
        <x:v>https://sports.sina.cn/others/qipai/2020-07-07/detail-iirczymm1038498.d.html?vt=4</x:v>
      </x:c>
      <x:c r="H119" s="16" t="str">
        <x:v>https://www.worldbridge.org/competitions/the-world-youth-team-championships/</x:v>
      </x:c>
      <x:c r="I119" s="16" t="str">
        <x:v>仍可能存在WBF名序、空格或旧库拼写差异；以所列中文资料和赛事上下文为判断基础。</x:v>
      </x:c>
      <x:c r="J119" s="17" t="n">
        <x:v>1</x:v>
      </x:c>
    </x:row>
    <x:row r="120">
      <x:c r="A120" s="36" t="str">
        <x:v>Simin Chen</x:v>
      </x:c>
      <x:c r="B120" s="78" t="str">
        <x:v>陈思敏</x:v>
      </x:c>
      <x:c r="C120" s="78" t="str">
        <x:v>低</x:v>
      </x:c>
      <x:c r="D120" s="36" t="str">
        <x:v>仅拼音最佳猜测</x:v>
      </x:c>
      <x:c r="E120" s="35" t="str">
        <x:v>WBF登记为“Simin Chen”；按姓名拼音与中国姓名常见用字给出“陈思敏”作为可检索候选。未找到能与同届队伍/搭档闭环的国内中文名单。</x:v>
      </x:c>
      <x:c r="F120" s="35" t="str">
        <x:v>2008-10-03—2008-10-18｜第1届世界智力运动会 / 世界桥牌运动会｜U21 Teams 青年团体｜CHINA</x:v>
      </x:c>
      <x:c r="G120" s="35" t="str"/>
      <x:c r="H120" s="35" t="str">
        <x:v>https://db.worldbridge.org/repository/tourn/Beijing.08/Beijing.htm</x:v>
      </x:c>
      <x:c r="I120" s="35" t="str">
        <x:v>姓氏同音（如 Yu=于/余/俞）及名字同音字均可能；不能视为身份确认。</x:v>
      </x:c>
      <x:c r="J120" s="36" t="n">
        <x:v>1</x:v>
      </x:c>
    </x:row>
    <x:row r="121">
      <x:c r="A121" s="17" t="str">
        <x:v>Sirui Chen</x:v>
      </x:c>
      <x:c r="B121" s="78" t="str">
        <x:v>陈思睿</x:v>
      </x:c>
      <x:c r="C121" s="78" t="str">
        <x:v>低</x:v>
      </x:c>
      <x:c r="D121" s="17" t="str">
        <x:v>仅拼音最佳猜测</x:v>
      </x:c>
      <x:c r="E121" s="16" t="str">
        <x:v>WBF登记为“Sirui Chen”；按姓名拼音与中国姓名常见用字给出“陈思睿”作为可检索候选。未找到能与同届队伍/搭档闭环的国内中文名单。</x:v>
      </x:c>
      <x:c r="F121" s="16" t="str">
        <x:v>2023-07-31—2023-08-07｜第18届世界青年团体锦标赛｜U16 BAM｜CHINA</x:v>
      </x:c>
      <x:c r="G121" s="16" t="str"/>
      <x:c r="H121"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c r="I121" s="16" t="str">
        <x:v>姓氏同音（如 Yu=于/余/俞）及名字同音字均可能；不能视为身份确认。</x:v>
      </x:c>
      <x:c r="J121" s="17" t="n">
        <x:v>1</x:v>
      </x:c>
    </x:row>
    <x:row r="122">
      <x:c r="A122" s="36" t="str">
        <x:v>Siyuan Liu</x:v>
      </x:c>
      <x:c r="B122" s="61" t="str">
        <x:v>刘思远</x:v>
      </x:c>
      <x:c r="C122" s="61" t="str">
        <x:v>高</x:v>
      </x:c>
      <x:c r="D122" s="36" t="str">
        <x:v>国内中文名单/报道 + WBF阵容交叉</x:v>
      </x:c>
      <x:c r="E122" s="35" t="str">
        <x:v>WBF登记为“Siyuan Liu”；国内桥牌资讯中出现“刘思远”，并用同届比赛、队伍/搭档和活动时间交叉，拼音与中文姓名可形成较唯一对应。</x:v>
      </x:c>
      <x:c r="F122" s="35" t="str">
        <x:v>2015-08-20—2015-08-29｜第4届世界青年公开锦标赛｜U16 Teams / Kids Teams｜SX HYSW</x:v>
      </x:c>
      <x:c r="G122" s="35" t="str">
        <x:v>https://www.chinanews.com/ty/2015/04-01/7177669.shtml</x:v>
      </x:c>
      <x:c r="H122" s="35" t="str">
        <x:v>https://www.worldbridge.org/competitions/the-world-youth-transnational-bridge-championships/</x:v>
      </x:c>
      <x:c r="I122" s="35" t="str">
        <x:v>仍可能存在WBF名序、空格或旧库拼写差异；以所列中文资料和赛事上下文为判断基础。</x:v>
      </x:c>
      <x:c r="J122" s="36" t="n">
        <x:v>1</x:v>
      </x:c>
    </x:row>
    <x:row r="123">
      <x:c r="A123" s="17" t="str">
        <x:v>Siyuan Shen</x:v>
      </x:c>
      <x:c r="B123" s="67" t="str">
        <x:v>沈思远</x:v>
      </x:c>
      <x:c r="C123" s="67" t="str">
        <x:v>中</x:v>
      </x:c>
      <x:c r="D123" s="17" t="str">
        <x:v>赛事时间、队伍/搭档与拼音交叉</x:v>
      </x:c>
      <x:c r="E123" s="16" t="str">
        <x:v>WBF登记为“Siyuan Shen”；结合所列赛事年代、年龄组、队伍/搭档与国内常见写法，最佳候选为“沈思远”。尚缺一份能同时列出英文拼音与中文全名的直接名单。</x:v>
      </x:c>
      <x:c r="F123" s="16" t="str">
        <x:v>2019-09｜世界桥牌团体锦标赛｜Transnational Open Teams 跨国公开团体｜CHINA</x:v>
      </x:c>
      <x:c r="G123" s="16" t="str"/>
      <x:c r="H123" s="16" t="str">
        <x:v>https://www.wbfmasterpoints.com/Medalsreport.asp</x:v>
      </x:c>
      <x:c r="I123" s="16" t="str">
        <x:v>汉字可能有同音替代，故标为中确定度；国内资料栏不填，避免把间接报道当成直接证据。</x:v>
      </x:c>
      <x:c r="J123" s="17" t="n">
        <x:v>1</x:v>
      </x:c>
    </x:row>
    <x:row r="124">
      <x:c r="A124" s="36" t="str">
        <x:v>Suhang Li</x:v>
      </x:c>
      <x:c r="B124" s="78" t="str">
        <x:v>李苏航</x:v>
      </x:c>
      <x:c r="C124" s="78" t="str">
        <x:v>低</x:v>
      </x:c>
      <x:c r="D124" s="36" t="str">
        <x:v>仅拼音最佳猜测</x:v>
      </x:c>
      <x:c r="E124" s="35" t="str">
        <x:v>WBF登记为“Suhang Li”；按姓名拼音与中国姓名常见用字给出“李苏航”作为可检索候选。未找到能与同届队伍/搭档闭环的国内中文名单。</x:v>
      </x:c>
      <x:c r="F124" s="35" t="str">
        <x:v>2019-08-20—2019-08-29｜第6届世界青年公开锦标赛｜U16 Teams｜SXSATURN</x:v>
      </x:c>
      <x:c r="G124" s="35" t="str"/>
      <x:c r="H124" s="35" t="str">
        <x:v>https://www.worldbridge.org/2019/08/6th-world-youth-open-championships-the-teams-and-bam-winners/</x:v>
      </x:c>
      <x:c r="I124" s="35" t="str">
        <x:v>姓氏同音（如 Yu=于/余/俞）及名字同音字均可能；不能视为身份确认。</x:v>
      </x:c>
      <x:c r="J124" s="36" t="n">
        <x:v>1</x:v>
      </x:c>
    </x:row>
    <x:row r="125">
      <x:c r="A125" s="17" t="str">
        <x:v>Sun Yanhui</x:v>
      </x:c>
      <x:c r="B125" s="61" t="str">
        <x:v>孙燕慧</x:v>
      </x:c>
      <x:c r="C125" s="61" t="str">
        <x:v>高</x:v>
      </x:c>
      <x:c r="D125" s="17" t="str">
        <x:v>国内中文名单/报道 + WBF阵容交叉</x:v>
      </x:c>
      <x:c r="E125" s="16" t="str">
        <x:v>WBF登记为“Sun Yanhui”；国内桥牌资讯中出现“孙燕慧”，并用同届比赛、队伍/搭档和活动时间交叉，拼音与中文姓名可形成较唯一对应。</x:v>
      </x:c>
      <x:c r="F125" s="16" t="str">
        <x:v>2010-10｜世界桥牌综合锦标赛｜McConnell Cup 女子淘汰团体｜CHINA LADIES TEAM</x:v>
      </x:c>
      <x:c r="G125" s="16" t="str">
        <x:v>https://sports.sina.cn/others/qipai/2020-07-07/detail-iirczymm1038498.d.html?vt=4</x:v>
      </x:c>
      <x:c r="H125" s="16" t="str">
        <x:v>https://www.wbfmasterpoints.com/Medalsreport.asp</x:v>
      </x:c>
      <x:c r="I125" s="16" t="str">
        <x:v>仍可能存在WBF名序、空格或旧库拼写差异；以所列中文资料和赛事上下文为判断基础。</x:v>
      </x:c>
      <x:c r="J125" s="17" t="n">
        <x:v>1</x:v>
      </x:c>
    </x:row>
    <x:row r="126">
      <x:c r="A126" s="36" t="str">
        <x:v>Tao Zhou</x:v>
      </x:c>
      <x:c r="B126" s="61" t="str">
        <x:v>周涛</x:v>
      </x:c>
      <x:c r="C126" s="61" t="str">
        <x:v>高</x:v>
      </x:c>
      <x:c r="D126" s="36" t="str">
        <x:v>国内中文名单/报道 + WBF阵容交叉</x:v>
      </x:c>
      <x:c r="E126" s="35" t="str">
        <x:v>WBF登记为“Tao Zhou”；国内桥牌资讯中出现“周涛”，并用同届比赛、队伍/搭档和活动时间交叉，拼音与中文姓名可形成较唯一对应。</x:v>
      </x:c>
      <x:c r="F126" s="35" t="str">
        <x:v>2014-10｜世界桥牌综合锦标赛｜Women Pairs 女子双人｜Tao Zhou – Shu Liu
2016｜世界桥牌运动会｜World National Women Pairs 女子国家双人｜Ling Gu – Tao Zhou</x:v>
      </x:c>
      <x:c r="G126" s="35" t="str">
        <x:v>https://www.ourgame.com/arranghtml/news7.html</x:v>
      </x:c>
      <x:c r="H126" s="35" t="str">
        <x:v>https://www.wbfmasterpoints.com/Medalsreport.asp</x:v>
      </x:c>
      <x:c r="I126" s="35" t="str">
        <x:v>仍可能存在WBF名序、空格或旧库拼写差异；以所列中文资料和赛事上下文为判断基础。</x:v>
      </x:c>
      <x:c r="J126" s="36" t="n">
        <x:v>2</x:v>
      </x:c>
    </x:row>
    <x:row r="127">
      <x:c r="A127" s="17" t="str">
        <x:v>Tengbo Tang</x:v>
      </x:c>
      <x:c r="B127" s="78" t="str">
        <x:v>唐腾博</x:v>
      </x:c>
      <x:c r="C127" s="78" t="str">
        <x:v>低</x:v>
      </x:c>
      <x:c r="D127" s="17" t="str">
        <x:v>仅拼音最佳猜测</x:v>
      </x:c>
      <x:c r="E127" s="16" t="str">
        <x:v>WBF登记为“Tengbo Tang”；按姓名拼音与中国姓名常见用字给出“唐腾博”作为可检索候选。未找到能与同届队伍/搭档闭环的国内中文名单。</x:v>
      </x:c>
      <x:c r="F127" s="16" t="str">
        <x:v>2019-08-20—2019-08-29｜第6届世界青年公开锦标赛｜U16 Teams｜SXSATURN</x:v>
      </x:c>
      <x:c r="G127" s="16" t="str"/>
      <x:c r="H127" s="16" t="str">
        <x:v>https://www.worldbridge.org/2019/08/6th-world-youth-open-championships-the-teams-and-bam-winners/</x:v>
      </x:c>
      <x:c r="I127" s="16" t="str">
        <x:v>姓氏同音（如 Yu=于/余/俞）及名字同音字均可能；不能视为身份确认。</x:v>
      </x:c>
      <x:c r="J127" s="17" t="n">
        <x:v>1</x:v>
      </x:c>
    </x:row>
    <x:row r="128">
      <x:c r="A128" s="36" t="str">
        <x:v>Tiancheng Zhang</x:v>
      </x:c>
      <x:c r="B128" s="78" t="str">
        <x:v>张天成</x:v>
      </x:c>
      <x:c r="C128" s="78" t="str">
        <x:v>低</x:v>
      </x:c>
      <x:c r="D128" s="36" t="str">
        <x:v>仅拼音最佳猜测</x:v>
      </x:c>
      <x:c r="E128" s="35" t="str">
        <x:v>WBF登记为“Tiancheng Zhang”；按姓名拼音与中国姓名常见用字给出“张天成”作为可检索候选。未找到能与同届队伍/搭档闭环的国内中文名单。</x:v>
      </x:c>
      <x:c r="F128" s="35" t="str">
        <x:v>2015-08-20—2015-08-29｜第4届世界青年公开锦标赛｜U16 Teams / Kids Teams｜SX XNWY
2017-08-15—2017-08-24｜第5届世界青年公开锦标赛｜U21 Teams / Youngsters Teams｜SHENGXING TEAM</x:v>
      </x:c>
      <x:c r="G128" s="35" t="str"/>
      <x:c r="H128" s="35" t="str">
        <x:v>https://www.worldbridge.org/competitions/the-world-youth-transnational-bridge-championships/
https://db.worldbridge.org/repository/tourn/lyonyouth.17/microsite/results.htm</x:v>
      </x:c>
      <x:c r="I128" s="35" t="str">
        <x:v>姓氏同音（如 Yu=于/余/俞）及名字同音字均可能；不能视为身份确认。</x:v>
      </x:c>
      <x:c r="J128" s="36" t="n">
        <x:v>2</x:v>
      </x:c>
    </x:row>
    <x:row r="129">
      <x:c r="A129" s="17" t="str">
        <x:v>Tianle Yao</x:v>
      </x:c>
      <x:c r="B129" s="61" t="str">
        <x:v>姚添乐</x:v>
      </x:c>
      <x:c r="C129" s="61" t="str">
        <x:v>高</x:v>
      </x:c>
      <x:c r="D129" s="17" t="str">
        <x:v>国内中文名单/报道 + WBF阵容交叉</x:v>
      </x:c>
      <x:c r="E129" s="16" t="str">
        <x:v>WBF登记为“Tianle Yao”；国内桥牌资讯中出现“姚添乐”，并用同届比赛、队伍/搭档和活动时间交叉，拼音与中文姓名可形成较唯一对应。</x:v>
      </x:c>
      <x:c r="F129" s="16" t="str">
        <x:v>2015-08-20—2015-08-29｜第4届世界青年公开锦标赛｜U16 Teams / Kids Teams｜SX HYSW
2017-08-15—2017-08-24｜第5届世界青年公开锦标赛｜U16 BAM｜SHENGXING VENUS
2017-08-15—2017-08-24｜第5届世界青年公开锦标赛｜U16 Teams / Kids Teams｜SHENGXING VENUS</x:v>
      </x:c>
      <x:c r="G129" s="16" t="str">
        <x:v>https://www.chinanews.com/ty/2015/04-01/7177669.shtml</x:v>
      </x:c>
      <x:c r="H129" s="16" t="str">
        <x:v>https://www.worldbridge.org/competitions/the-world-youth-transnational-bridge-championships/</x:v>
      </x:c>
      <x:c r="I129" s="16" t="str">
        <x:v>仍可能存在WBF名序、空格或旧库拼写差异；以所列中文资料和赛事上下文为判断基础。</x:v>
      </x:c>
      <x:c r="J129" s="17" t="n">
        <x:v>3</x:v>
      </x:c>
    </x:row>
    <x:row r="130">
      <x:c r="A130" s="36" t="str">
        <x:v>Tianxin Chi</x:v>
      </x:c>
      <x:c r="B130" s="78" t="str">
        <x:v>池天欣</x:v>
      </x:c>
      <x:c r="C130" s="78" t="str">
        <x:v>低</x:v>
      </x:c>
      <x:c r="D130" s="36" t="str">
        <x:v>仅拼音最佳猜测</x:v>
      </x:c>
      <x:c r="E130" s="35" t="str">
        <x:v>WBF登记为“Tianxin Chi”；按姓名拼音与中国姓名常见用字给出“池天欣”作为可检索候选。未找到能与同届队伍/搭档闭环的国内中文名单。</x:v>
      </x:c>
      <x:c r="F130" s="35" t="str">
        <x:v>2026-08-03—2026-08-08｜第9届世界青年跨国锦标赛｜U26 Women Teams｜SHANDONG YANTAI</x:v>
      </x:c>
      <x:c r="G130" s="35" t="str"/>
      <x:c r="H130" s="35" t="str">
        <x:v>https://db.worldbridge.org/Repository/tourn/hefei.26/microsite/results.htm</x:v>
      </x:c>
      <x:c r="I130" s="35" t="str">
        <x:v>姓氏同音（如 Yu=于/余/俞）及名字同音字均可能；不能视为身份确认。</x:v>
      </x:c>
      <x:c r="J130" s="36" t="n">
        <x:v>1</x:v>
      </x:c>
    </x:row>
    <x:row r="131">
      <x:c r="A131" s="17" t="str">
        <x:v>Tianyao Yan</x:v>
      </x:c>
      <x:c r="B131" s="78" t="str">
        <x:v>闫天尧</x:v>
      </x:c>
      <x:c r="C131" s="78" t="str">
        <x:v>低</x:v>
      </x:c>
      <x:c r="D131" s="17" t="str">
        <x:v>仅拼音最佳猜测</x:v>
      </x:c>
      <x:c r="E131" s="16" t="str">
        <x:v>WBF登记为“Tianyao Yan”；按姓名拼音与中国姓名常见用字给出“闫天尧”作为可检索候选。未找到能与同届队伍/搭档闭环的国内中文名单。</x:v>
      </x:c>
      <x:c r="F131" s="16" t="str">
        <x:v>2019-08-20—2019-08-29｜第6届世界青年公开锦标赛｜Youth BAM｜SXNEBULA
2026-08-03—2026-08-08｜第9届世界青年跨国锦标赛｜U31 Teams｜CHINA U31</x:v>
      </x:c>
      <x:c r="G131" s="16" t="str"/>
      <x:c r="H131" s="16" t="str">
        <x:v>https://www.worldbridge.org/2019/08/6th-world-youth-open-championships-the-teams-and-bam-winners/
https://db.worldbridge.org/Repository/tourn/hefei.26/microsite/results.htm</x:v>
      </x:c>
      <x:c r="I131" s="16" t="str">
        <x:v>姓氏同音（如 Yu=于/余/俞）及名字同音字均可能；不能视为身份确认。</x:v>
      </x:c>
      <x:c r="J131" s="17" t="n">
        <x:v>2</x:v>
      </x:c>
    </x:row>
    <x:row r="132">
      <x:c r="A132" s="36" t="str">
        <x:v>Tianyi Jin</x:v>
      </x:c>
      <x:c r="B132" s="78" t="str">
        <x:v>金天一</x:v>
      </x:c>
      <x:c r="C132" s="78" t="str">
        <x:v>低</x:v>
      </x:c>
      <x:c r="D132" s="36" t="str">
        <x:v>仅拼音最佳猜测</x:v>
      </x:c>
      <x:c r="E132" s="35" t="str">
        <x:v>WBF登记为“Tianyi Jin”；按姓名拼音与中国姓名常见用字给出“金天一”作为可检索候选。未找到能与同届队伍/搭档闭环的国内中文名单。</x:v>
      </x:c>
      <x:c r="F132" s="35" t="str">
        <x:v>2013｜第3届世界青年公开锦标赛｜U21 Pairs / Youngsters Pairs｜Kai Jin – Tianyi Jin
2013｜第3届世界青年公开锦标赛｜U21 Teams / Youngsters Teams｜CHINA XNWY</x:v>
      </x:c>
      <x:c r="G132" s="35" t="str"/>
      <x:c r="H132" s="35" t="str">
        <x:v>https://www.worldbridge.org/competitions/the-world-youth-transnational-bridge-championships/
https://www.worldbridge.org/competitions/the-world-youth-transnational-bridge-championships/the-u21-teams/</x:v>
      </x:c>
      <x:c r="I132" s="35" t="str">
        <x:v>姓氏同音（如 Yu=于/余/俞）及名字同音字均可能；不能视为身份确认。</x:v>
      </x:c>
      <x:c r="J132" s="36" t="n">
        <x:v>2</x:v>
      </x:c>
    </x:row>
    <x:row r="133">
      <x:c r="A133" s="17" t="str">
        <x:v>Tianyu Zhang</x:v>
      </x:c>
      <x:c r="B133" s="78" t="str">
        <x:v>张天宇</x:v>
      </x:c>
      <x:c r="C133" s="78" t="str">
        <x:v>低</x:v>
      </x:c>
      <x:c r="D133" s="17" t="str">
        <x:v>仅拼音最佳猜测</x:v>
      </x:c>
      <x:c r="E133" s="16" t="str">
        <x:v>WBF登记为“Tianyu Zhang”；按姓名拼音与中国姓名常见用字给出“张天宇”作为可检索候选。未找到能与同届队伍/搭档闭环的国内中文名单。</x:v>
      </x:c>
      <x:c r="F133" s="16" t="str">
        <x:v>2026-08-03—2026-08-08｜第9届世界青年跨国锦标赛｜U31 Teams｜CHINA U31</x:v>
      </x:c>
      <x:c r="G133" s="16" t="str"/>
      <x:c r="H133" s="16" t="str">
        <x:v>https://db.worldbridge.org/Repository/tourn/hefei.26/microsite/results.htm</x:v>
      </x:c>
      <x:c r="I133" s="16" t="str">
        <x:v>姓氏同音（如 Yu=于/余/俞）及名字同音字均可能；不能视为身份确认。</x:v>
      </x:c>
      <x:c r="J133" s="17" t="n">
        <x:v>1</x:v>
      </x:c>
    </x:row>
    <x:row r="134">
      <x:c r="A134" s="36" t="str">
        <x:v>Tie Chen</x:v>
      </x:c>
      <x:c r="B134" s="61" t="str">
        <x:v>陈铁</x:v>
      </x:c>
      <x:c r="C134" s="61" t="str">
        <x:v>高</x:v>
      </x:c>
      <x:c r="D134" s="36" t="str">
        <x:v>国内中文名单/报道 + WBF阵容交叉</x:v>
      </x:c>
      <x:c r="E134" s="35" t="str">
        <x:v>WBF登记为“Tie Chen”；国内桥牌资讯中出现“陈铁”，并用同届比赛、队伍/搭档和活动时间交叉，拼音与中文姓名可形成较唯一对应。</x:v>
      </x:c>
      <x:c r="F134" s="35" t="str">
        <x:v>2018-08-08—2018-08-18｜世界青年团体锦标赛｜U16 Teams｜CHINA3</x:v>
      </x:c>
      <x:c r="G134" s="35" t="str">
        <x:v>https://sports.sina.cn/others/qipai/2020-07-07/detail-iirczymm1038498.d.html?vt=4</x:v>
      </x:c>
      <x:c r="H134" s="35" t="str">
        <x:v>https://www.worldbridge.org/competitions/the-world-youth-team-championships/</x:v>
      </x:c>
      <x:c r="I134" s="35" t="str">
        <x:v>仍可能存在WBF名序、空格或旧库拼写差异；以所列中文资料和赛事上下文为判断基础。</x:v>
      </x:c>
      <x:c r="J134" s="36" t="n">
        <x:v>1</x:v>
      </x:c>
    </x:row>
    <x:row r="135">
      <x:c r="A135" s="17" t="str">
        <x:v>Tong Jiang</x:v>
      </x:c>
      <x:c r="B135" s="78" t="str">
        <x:v>江桐</x:v>
      </x:c>
      <x:c r="C135" s="78" t="str">
        <x:v>低</x:v>
      </x:c>
      <x:c r="D135" s="17" t="str">
        <x:v>仅拼音最佳猜测</x:v>
      </x:c>
      <x:c r="E135" s="16" t="str">
        <x:v>WBF登记为“Tong Jiang”；按姓名拼音与中国姓名常见用字给出“江桐”作为可检索候选。未找到能与同届队伍/搭档闭环的国内中文名单。</x:v>
      </x:c>
      <x:c r="F135" s="16" t="str">
        <x:v>2017｜世界桥牌团体锦标赛｜Transnational Open Teams 跨国公开团体｜TRANSNATIONAL TEAM</x:v>
      </x:c>
      <x:c r="G135" s="16" t="str"/>
      <x:c r="H135" s="16" t="str">
        <x:v>https://www.wbfmasterpoints.com/Medalsreport.asp</x:v>
      </x:c>
      <x:c r="I135" s="16" t="str">
        <x:v>姓氏同音（如 Yu=于/余/俞）及名字同音字均可能；不能视为身份确认。</x:v>
      </x:c>
      <x:c r="J135" s="17" t="n">
        <x:v>1</x:v>
      </x:c>
    </x:row>
    <x:row r="136">
      <x:c r="A136" s="36" t="str">
        <x:v>Wanyi Lian</x:v>
      </x:c>
      <x:c r="B136" s="61" t="str">
        <x:v>连婉仪</x:v>
      </x:c>
      <x:c r="C136" s="61" t="str">
        <x:v>高</x:v>
      </x:c>
      <x:c r="D136" s="36" t="str">
        <x:v>国内中文名单/报道 + WBF阵容交叉</x:v>
      </x:c>
      <x:c r="E136" s="35" t="str">
        <x:v>WBF登记为“Wanyi Lian”；国内桥牌资讯中出现“连婉仪”，并用同届比赛、队伍/搭档和活动时间交叉，拼音与中文姓名可形成较唯一对应。</x:v>
      </x:c>
      <x:c r="F136" s="35" t="str">
        <x:v>2026-08-03—2026-08-08｜第9届世界青年跨国锦标赛｜U26 Women Pairs｜Wenjing Chen – Wanyi Lian</x:v>
      </x:c>
      <x:c r="G136" s="35" t="str">
        <x:v>https://www.xxbridge.com/M.aspx?m=1913&amp;n=6&amp;r=50&amp;t=2</x:v>
      </x:c>
      <x:c r="H136" s="35" t="str">
        <x:v>https://db.worldbridge.org/Repository/tourn/hefei.26/microsite/Asp/TotalPairs.asp?qtournid=2667&amp;qgroupno=1&amp;qroundno=3</x:v>
      </x:c>
      <x:c r="I136" s="35" t="str">
        <x:v>仍可能存在WBF名序、空格或旧库拼写差异；以所列中文资料和赛事上下文为判断基础。</x:v>
      </x:c>
      <x:c r="J136" s="36" t="n">
        <x:v>1</x:v>
      </x:c>
    </x:row>
    <x:row r="137">
      <x:c r="A137" s="17" t="str">
        <x:v>Wanying Guo</x:v>
      </x:c>
      <x:c r="B137" s="78" t="str">
        <x:v>郭婉莹</x:v>
      </x:c>
      <x:c r="C137" s="78" t="str">
        <x:v>低</x:v>
      </x:c>
      <x:c r="D137" s="17" t="str">
        <x:v>仅拼音最佳猜测</x:v>
      </x:c>
      <x:c r="E137" s="16" t="str">
        <x:v>WBF登记为“Wanying Guo”；按姓名拼音与中国姓名常见用字给出“郭婉莹”作为可检索候选。未找到能与同届队伍/搭档闭环的国内中文名单。</x:v>
      </x:c>
      <x:c r="F137" s="16" t="str">
        <x:v>2026-08-03—2026-08-08｜第9届世界青年跨国锦标赛｜U26 Women Pairs｜Luxi Gong – Wanying Guo</x:v>
      </x:c>
      <x:c r="G137" s="16" t="str"/>
      <x:c r="H137" s="16" t="str">
        <x:v>https://db.worldbridge.org/Repository/tourn/hefei.26/microsite/Asp/TotalPairs.asp?qtournid=2667&amp;qgroupno=1&amp;qroundno=3</x:v>
      </x:c>
      <x:c r="I137" s="16" t="str">
        <x:v>姓氏同音（如 Yu=于/余/俞）及名字同音字均可能；不能视为身份确认。</x:v>
      </x:c>
      <x:c r="J137" s="17" t="n">
        <x:v>1</x:v>
      </x:c>
    </x:row>
    <x:row r="138">
      <x:c r="A138" s="36" t="str">
        <x:v>Wei Meng</x:v>
      </x:c>
      <x:c r="B138" s="78" t="str">
        <x:v>孟巍</x:v>
      </x:c>
      <x:c r="C138" s="78" t="str">
        <x:v>低</x:v>
      </x:c>
      <x:c r="D138" s="36" t="str">
        <x:v>仅拼音最佳猜测</x:v>
      </x:c>
      <x:c r="E138" s="35" t="str">
        <x:v>WBF登记为“Wei Meng”；按姓名拼音与中国姓名常见用字给出“孟巍”作为可检索候选。未找到能与同届队伍/搭档闭环的国内中文名单。</x:v>
      </x:c>
      <x:c r="F138" s="35" t="str">
        <x:v>2010-10｜世界青年团体锦标赛｜U26 Women Teams｜CHINA</x:v>
      </x:c>
      <x:c r="G138" s="35" t="str"/>
      <x:c r="H138" s="35" t="str">
        <x:v>https://www.worldbridge.org/competitions/the-world-youth-team-championships/</x:v>
      </x:c>
      <x:c r="I138" s="35" t="str">
        <x:v>姓氏同音（如 Yu=于/余/俞）及名字同音字均可能；不能视为身份确认。</x:v>
      </x:c>
      <x:c r="J138" s="36" t="n">
        <x:v>1</x:v>
      </x:c>
    </x:row>
    <x:row r="139">
      <x:c r="A139" s="17" t="str">
        <x:v>Wei Wang</x:v>
      </x:c>
      <x:c r="B139" s="61" t="str">
        <x:v>王未</x:v>
      </x:c>
      <x:c r="C139" s="61" t="str">
        <x:v>高</x:v>
      </x:c>
      <x:c r="D139" s="17" t="str">
        <x:v>国内中文名单/报道 + WBF阵容交叉</x:v>
      </x:c>
      <x:c r="E139" s="16" t="str">
        <x:v>WBF登记为“Wei Wang”；国内桥牌资讯中出现“王未”，并用同届比赛、队伍/搭档和活动时间交叉，拼音与中文姓名可形成较唯一对应。</x:v>
      </x:c>
      <x:c r="F139" s="16" t="str">
        <x:v>2026-08-03—2026-08-08｜第9届世界青年跨国锦标赛｜U31 Teams｜AGOOFANS</x:v>
      </x:c>
      <x:c r="G139" s="16" t="str">
        <x:v>https://www.xxbridge.com/M.aspx?m=1913&amp;n=6&amp;r=50&amp;t=2</x:v>
      </x:c>
      <x:c r="H139" s="16" t="str">
        <x:v>https://db.worldbridge.org/Repository/tourn/hefei.26/microsite/results.htm</x:v>
      </x:c>
      <x:c r="I139" s="16" t="str">
        <x:v>仍可能存在WBF名序、空格或旧库拼写差异；以所列中文资料和赛事上下文为判断基础。</x:v>
      </x:c>
      <x:c r="J139" s="17" t="n">
        <x:v>1</x:v>
      </x:c>
    </x:row>
    <x:row r="140">
      <x:c r="A140" s="36" t="str">
        <x:v>Weimin Wang</x:v>
      </x:c>
      <x:c r="B140" s="61" t="str">
        <x:v>王为民</x:v>
      </x:c>
      <x:c r="C140" s="61" t="str">
        <x:v>高</x:v>
      </x:c>
      <x:c r="D140" s="36" t="str">
        <x:v>国内中文名单/报道 + WBF阵容交叉</x:v>
      </x:c>
      <x:c r="E140" s="35" t="str">
        <x:v>WBF登记为“Weimin Wang”；国内桥牌资讯中出现“王为民”，并用同届比赛、队伍/搭档和活动时间交叉，拼音与中文姓名可形成较唯一对应。</x:v>
      </x:c>
      <x:c r="F140" s="35" t="str">
        <x:v>2003｜世界桥牌团体锦标赛｜Transnational Open Teams 跨国公开团体｜CHINA
2004｜世界桥牌奥林匹克赛｜Transnational Mixed Teams 跨国混合团体｜CHINA
2014-10｜世界桥牌综合锦标赛｜Mixed Teams 混合团体｜CHINA</x:v>
      </x:c>
      <x:c r="G140" s="35" t="str">
        <x:v>https://www.ourgame.com/arranghtml/news7.html</x:v>
      </x:c>
      <x:c r="H140" s="35" t="str">
        <x:v>https://www.wbfmasterpoints.com/Medalsreport.asp</x:v>
      </x:c>
      <x:c r="I140" s="35" t="str">
        <x:v>仍可能存在WBF名序、空格或旧库拼写差异；以所列中文资料和赛事上下文为判断基础。</x:v>
      </x:c>
      <x:c r="J140" s="36" t="n">
        <x:v>3</x:v>
      </x:c>
    </x:row>
    <x:row r="141">
      <x:c r="A141" s="17" t="str">
        <x:v>Wen Fei Wang</x:v>
      </x:c>
      <x:c r="B141" s="61" t="str">
        <x:v>王文霏</x:v>
      </x:c>
      <x:c r="C141" s="61" t="str">
        <x:v>高</x:v>
      </x:c>
      <x:c r="D141" s="17" t="str">
        <x:v>国内中文名单/报道 + WBF阵容交叉</x:v>
      </x:c>
      <x:c r="E141" s="16" t="str">
        <x:v>WBF登记为“Wen Fei Wang”；国内桥牌资讯中出现“王文霏”，并用同届比赛、队伍/搭档和活动时间交叉，拼音与中文姓名可形成较唯一对应。</x:v>
      </x:c>
      <x:c r="F141" s="16" t="str">
        <x:v>1996｜世界桥牌团体奥林匹克赛｜女子团体｜CHINA
1997｜世界桥牌团体锦标赛｜Venice Cup 女子团体｜CHINA
2003｜世界桥牌团体锦标赛｜Venice Cup 女子团体｜CHINA
2006-06｜世界桥牌综合锦标赛｜Women Pairs 女子双人｜Hongli Wang – Wen Fei Wang
另有9条，见个人奖牌榜明细</x:v>
      </x:c>
      <x:c r="G141" s="16" t="str">
        <x:v>https://www.ourgame.com/arranghtml/news7.html</x:v>
      </x:c>
      <x:c r="H141" s="16" t="str">
        <x:v>https://www.wbfmasterpoints.com/Medalsreport.asp
https://db.worldbridge.org/repository/tourn/Beijing.08/Beijing.htm
https://db.worldbridge.org/Repository/tourn/SaoPaulo.09/SaoPaulo.htm</x:v>
      </x:c>
      <x:c r="I141" s="16" t="str">
        <x:v>仍可能存在WBF名序、空格或旧库拼写差异；以所列中文资料和赛事上下文为判断基础。</x:v>
      </x:c>
      <x:c r="J141" s="17" t="n">
        <x:v>13</x:v>
      </x:c>
    </x:row>
    <x:row r="142">
      <x:c r="A142" s="36" t="str">
        <x:v>Wenfei Yu</x:v>
      </x:c>
      <x:c r="B142" s="78" t="str">
        <x:v>于文菲</x:v>
      </x:c>
      <x:c r="C142" s="78" t="str">
        <x:v>低</x:v>
      </x:c>
      <x:c r="D142" s="36" t="str">
        <x:v>仅拼音最佳猜测</x:v>
      </x:c>
      <x:c r="E142" s="35" t="str">
        <x:v>WBF登记为“Wenfei Yu”；按姓名拼音与中国姓名常见用字给出“于文菲”作为可检索候选。未找到能与同届队伍/搭档闭环的国内中文名单。</x:v>
      </x:c>
      <x:c r="F142" s="35" t="str">
        <x:v>2019-08-20—2019-08-29｜第6届世界青年公开锦标赛｜U26 Women Teams｜SXPEONY</x:v>
      </x:c>
      <x:c r="G142" s="35" t="str"/>
      <x:c r="H142" s="35" t="str">
        <x:v>https://www.worldbridge.org/2019/08/6th-world-youth-open-championships-the-teams-and-bam-winners/</x:v>
      </x:c>
      <x:c r="I142" s="35" t="str">
        <x:v>姓氏同音（如 Yu=于/余/俞）及名字同音字均可能；不能视为身份确认。</x:v>
      </x:c>
      <x:c r="J142" s="36" t="n">
        <x:v>1</x:v>
      </x:c>
    </x:row>
    <x:row r="143">
      <x:c r="A143" s="17" t="str">
        <x:v>Wenjie Xue</x:v>
      </x:c>
      <x:c r="B143" s="78" t="str">
        <x:v>薛文杰</x:v>
      </x:c>
      <x:c r="C143" s="78" t="str">
        <x:v>低</x:v>
      </x:c>
      <x:c r="D143" s="17" t="str">
        <x:v>仅拼音最佳猜测</x:v>
      </x:c>
      <x:c r="E143" s="16" t="str">
        <x:v>WBF登记为“Wenjie Xue”；按姓名拼音与中国姓名常见用字给出“薛文杰”作为可检索候选。未找到能与同届队伍/搭档闭环的国内中文名单。</x:v>
      </x:c>
      <x:c r="F143" s="16" t="str">
        <x:v>2015-08-20—2015-08-29｜第4届世界青年公开锦标赛｜U16 Teams / Kids Teams｜SX XNWY</x:v>
      </x:c>
      <x:c r="G143" s="16" t="str"/>
      <x:c r="H143" s="16" t="str">
        <x:v>https://www.worldbridge.org/competitions/the-world-youth-transnational-bridge-championships/</x:v>
      </x:c>
      <x:c r="I143" s="16" t="str">
        <x:v>姓氏同音（如 Yu=于/余/俞）及名字同音字均可能；不能视为身份确认。</x:v>
      </x:c>
      <x:c r="J143" s="17" t="n">
        <x:v>1</x:v>
      </x:c>
    </x:row>
    <x:row r="144">
      <x:c r="A144" s="36" t="str">
        <x:v>Wenjing Chen</x:v>
      </x:c>
      <x:c r="B144" s="61" t="str">
        <x:v>陈文静</x:v>
      </x:c>
      <x:c r="C144" s="61" t="str">
        <x:v>高</x:v>
      </x:c>
      <x:c r="D144" s="36" t="str">
        <x:v>国内中文名单/报道 + WBF阵容交叉</x:v>
      </x:c>
      <x:c r="E144" s="35" t="str">
        <x:v>WBF登记为“Wenjing Chen”；国内桥牌资讯中出现“陈文静”，并用同届比赛、队伍/搭档和活动时间交叉，拼音与中文姓名可形成较唯一对应。</x:v>
      </x:c>
      <x:c r="F144" s="35" t="str">
        <x:v>2026-08-03—2026-08-08｜第9届世界青年跨国锦标赛｜U26 Women Pairs｜Wenjing Chen – Wanyi Lian</x:v>
      </x:c>
      <x:c r="G144" s="35" t="str">
        <x:v>https://www.xxbridge.com/M.aspx?m=1913&amp;n=6&amp;r=50&amp;t=2</x:v>
      </x:c>
      <x:c r="H144" s="35" t="str">
        <x:v>https://db.worldbridge.org/Repository/tourn/hefei.26/microsite/Asp/TotalPairs.asp?qtournid=2667&amp;qgroupno=1&amp;qroundno=3</x:v>
      </x:c>
      <x:c r="I144" s="35" t="str">
        <x:v>仍可能存在WBF名序、空格或旧库拼写差异；以所列中文资料和赛事上下文为判断基础。</x:v>
      </x:c>
      <x:c r="J144" s="36" t="n">
        <x:v>1</x:v>
      </x:c>
    </x:row>
    <x:row r="145">
      <x:c r="A145" s="17" t="str">
        <x:v>Xiao Xu</x:v>
      </x:c>
      <x:c r="B145" s="78" t="str">
        <x:v>徐潇</x:v>
      </x:c>
      <x:c r="C145" s="78" t="str">
        <x:v>低</x:v>
      </x:c>
      <x:c r="D145" s="17" t="str">
        <x:v>仅拼音最佳猜测</x:v>
      </x:c>
      <x:c r="E145" s="16" t="str">
        <x:v>WBF登记为“Xiao Xu”；按姓名拼音与中国姓名常见用字给出“徐潇”作为可检索候选。未找到能与同届队伍/搭档闭环的国内中文名单。</x:v>
      </x:c>
      <x:c r="F145" s="16" t="str">
        <x:v>2026-08-03—2026-08-08｜第9届世界青年跨国锦标赛｜U16 Pairs｜Lepeng Shen – Xiao Xu</x:v>
      </x:c>
      <x:c r="G145" s="16" t="str"/>
      <x:c r="H145" s="16" t="str">
        <x:v>https://db.worldbridge.org/Repository/tourn/hefei.26/microsite/Asp/TotalPairs.asp?qtournid=2668&amp;qgroupno=1&amp;qroundno=3</x:v>
      </x:c>
      <x:c r="I145" s="16" t="str">
        <x:v>姓氏同音（如 Yu=于/余/俞）及名字同音字均可能；不能视为身份确认。</x:v>
      </x:c>
      <x:c r="J145" s="17" t="n">
        <x:v>1</x:v>
      </x:c>
    </x:row>
    <x:row r="146">
      <x:c r="A146" s="36" t="str">
        <x:v>Xiaofeng Zhang</x:v>
      </x:c>
      <x:c r="B146" s="67" t="str">
        <x:v>张晓峰</x:v>
      </x:c>
      <x:c r="C146" s="67" t="str">
        <x:v>中</x:v>
      </x:c>
      <x:c r="D146" s="36" t="str">
        <x:v>赛事时间、队伍/搭档与拼音交叉</x:v>
      </x:c>
      <x:c r="E146" s="35" t="str">
        <x:v>WBF登记为“Xiaofeng Zhang”；结合所列赛事年代、年龄组、队伍/搭档与国内常见写法，最佳候选为“张晓峰”。尚缺一份能同时列出英文拼音与中文全名的直接名单。</x:v>
      </x:c>
      <x:c r="F146" s="35" t="str">
        <x:v>2017｜世界桥牌团体锦标赛｜Transnational Open Teams 跨国公开团体｜TRANSNATIONAL TEAM</x:v>
      </x:c>
      <x:c r="G146" s="35" t="str"/>
      <x:c r="H146" s="35" t="str">
        <x:v>https://www.wbfmasterpoints.com/Medalsreport.asp</x:v>
      </x:c>
      <x:c r="I146" s="35" t="str">
        <x:v>汉字可能有同音替代，故标为中确定度；国内资料栏不填，避免把间接报道当成直接证据。</x:v>
      </x:c>
      <x:c r="J146" s="36" t="n">
        <x:v>1</x:v>
      </x:c>
    </x:row>
    <x:row r="147">
      <x:c r="A147" s="17" t="str">
        <x:v>Xiaoguang Yu</x:v>
      </x:c>
      <x:c r="B147" s="61" t="str">
        <x:v>喻小广</x:v>
      </x:c>
      <x:c r="C147" s="61" t="str">
        <x:v>高</x:v>
      </x:c>
      <x:c r="D147" s="17" t="str">
        <x:v>国内中文名单/报道 + WBF阵容交叉</x:v>
      </x:c>
      <x:c r="E147" s="16" t="str">
        <x:v>WBF登记为“Xiaoguang Yu”；国内桥牌资讯中出现“喻小广”，并用同届比赛、队伍/搭档和活动时间交叉，拼音与中文姓名可形成较唯一对应。</x:v>
      </x:c>
      <x:c r="F147" s="16" t="str">
        <x:v>2019-09｜世界桥牌团体锦标赛｜Transnational Open Teams 跨国公开团体｜CHINA</x:v>
      </x:c>
      <x:c r="G147" s="16" t="str">
        <x:v>https://sports.sina.cn/others/qipai/2020-07-07/detail-iirczymm1038498.d.html?vt=4</x:v>
      </x:c>
      <x:c r="H147" s="16" t="str">
        <x:v>https://www.wbfmasterpoints.com/Medalsreport.asp</x:v>
      </x:c>
      <x:c r="I147" s="16" t="str">
        <x:v>仍可能存在WBF名序、空格或旧库拼写差异；以所列中文资料和赛事上下文为判断基础。</x:v>
      </x:c>
      <x:c r="J147" s="17" t="n">
        <x:v>1</x:v>
      </x:c>
    </x:row>
    <x:row r="148">
      <x:c r="A148" s="36" t="str">
        <x:v>Xiaonong Shen</x:v>
      </x:c>
      <x:c r="B148" s="61" t="str">
        <x:v>沈小农</x:v>
      </x:c>
      <x:c r="C148" s="61" t="str">
        <x:v>高</x:v>
      </x:c>
      <x:c r="D148" s="36" t="str">
        <x:v>国内中文名单/报道 + WBF阵容交叉</x:v>
      </x:c>
      <x:c r="E148" s="35" t="str">
        <x:v>WBF登记为“Xiaonong Shen”；国内桥牌资讯中出现“沈小农”，并用同届比赛、队伍/搭档和活动时间交叉，拼音与中文姓名可形成较唯一对应。</x:v>
      </x:c>
      <x:c r="F148" s="35" t="str">
        <x:v>2018｜世界桥牌综合锦标赛｜World Senior Teams 老年团体｜CHINA</x:v>
      </x:c>
      <x:c r="G148" s="35" t="str">
        <x:v>https://sports.sina.cn/others/qipai/2020-07-07/detail-iirczymm1038498.d.html?vt=4</x:v>
      </x:c>
      <x:c r="H148" s="35" t="str">
        <x:v>https://www.wbfmasterpoints.com/Medalsreport.asp</x:v>
      </x:c>
      <x:c r="I148" s="35" t="str">
        <x:v>仍可能存在WBF名序、空格或旧库拼写差异；以所列中文资料和赛事上下文为判断基础。</x:v>
      </x:c>
      <x:c r="J148" s="36" t="n">
        <x:v>1</x:v>
      </x:c>
    </x:row>
    <x:row r="149">
      <x:c r="A149" s="17" t="str">
        <x:v>Xiaotong Wu</x:v>
      </x:c>
      <x:c r="B149" s="78" t="str">
        <x:v>吴晓彤</x:v>
      </x:c>
      <x:c r="C149" s="78" t="str">
        <x:v>低</x:v>
      </x:c>
      <x:c r="D149" s="17" t="str">
        <x:v>仅拼音最佳猜测</x:v>
      </x:c>
      <x:c r="E149" s="16" t="str">
        <x:v>WBF登记为“Xiaotong Wu”；按姓名拼音与中国姓名常见用字给出“吴晓彤”作为可检索候选。未找到能与同届队伍/搭档闭环的国内中文名单。</x:v>
      </x:c>
      <x:c r="F149" s="16" t="str">
        <x:v>2017-08-15—2017-08-24｜第5届世界青年公开锦标赛｜U26 Women Teams / Girls Teams｜SH XIN JIANGNAN TEAM</x:v>
      </x:c>
      <x:c r="G149" s="16" t="str"/>
      <x:c r="H149" s="16" t="str">
        <x:v>https://db.worldbridge.org/repository/tourn/lyonyouth.17/microsite/Asp/knockoutphase.asp?qtournid=1460&amp;qphase=FF</x:v>
      </x:c>
      <x:c r="I149" s="16" t="str">
        <x:v>姓氏同音（如 Yu=于/余/俞）及名字同音字均可能；不能视为身份确认。</x:v>
      </x:c>
      <x:c r="J149" s="17" t="n">
        <x:v>1</x:v>
      </x:c>
    </x:row>
    <x:row r="150">
      <x:c r="A150" s="36" t="str">
        <x:v>Xiaoxue Zuo</x:v>
      </x:c>
      <x:c r="B150" s="61" t="str">
        <x:v>左晓雪</x:v>
      </x:c>
      <x:c r="C150" s="61" t="str">
        <x:v>高</x:v>
      </x:c>
      <x:c r="D150" s="36" t="str">
        <x:v>国内中文名单/报道 + WBF阵容交叉</x:v>
      </x:c>
      <x:c r="E150" s="35" t="str">
        <x:v>WBF登记为“Xiaoxue Zuo”；国内桥牌资讯中出现“左晓雪”，并用同届比赛、队伍/搭档和活动时间交叉，拼音与中文姓名可形成较唯一对应。</x:v>
      </x:c>
      <x:c r="F150" s="35" t="str">
        <x:v>2019-09｜世界桥牌团体锦标赛｜Venice Cup 女子团体｜CHINA
2023-08｜世界桥牌团体锦标赛｜Venice Cup 女子团体｜CHINA
2025-08-20—2025-08-31｜第47届世界桥牌团体锦标赛｜Venice Cup 女子团体｜CHINA</x:v>
      </x:c>
      <x:c r="G150" s="35" t="str">
        <x:v>https://news.qq.com/rain/a/20250828A04GG700</x:v>
      </x:c>
      <x:c r="H150" s="35" t="str">
        <x:v>https://www.wbfmasterpoints.com/Medalsreport.asp
https://www.worldbridge.org/2025/08/congratulations-to-the-champions/</x:v>
      </x:c>
      <x:c r="I150" s="35" t="str">
        <x:v>仍可能存在WBF名序、空格或旧库拼写差异；以所列中文资料和赛事上下文为判断基础。</x:v>
      </x:c>
      <x:c r="J150" s="36" t="n">
        <x:v>3</x:v>
      </x:c>
    </x:row>
    <x:row r="151">
      <x:c r="A151" s="17" t="str">
        <x:v>Xihan Zhang</x:v>
      </x:c>
      <x:c r="B151" s="78" t="str">
        <x:v>张熙涵</x:v>
      </x:c>
      <x:c r="C151" s="78" t="str">
        <x:v>低</x:v>
      </x:c>
      <x:c r="D151" s="17" t="str">
        <x:v>仅拼音最佳猜测</x:v>
      </x:c>
      <x:c r="E151" s="16" t="str">
        <x:v>WBF登记为“Xihan Zhang”；按姓名拼音与中国姓名常见用字给出“张熙涵”作为可检索候选。未找到能与同届队伍/搭档闭环的国内中文名单。</x:v>
      </x:c>
      <x:c r="F151" s="16" t="str">
        <x:v>2026-08-03—2026-08-08｜第9届世界青年跨国锦标赛｜U26 Women Teams｜SHANDONG YANTAI</x:v>
      </x:c>
      <x:c r="G151" s="16" t="str"/>
      <x:c r="H151" s="16" t="str">
        <x:v>https://db.worldbridge.org/Repository/tourn/hefei.26/microsite/results.htm</x:v>
      </x:c>
      <x:c r="I151" s="16" t="str">
        <x:v>姓氏同音（如 Yu=于/余/俞）及名字同音字均可能；不能视为身份确认。</x:v>
      </x:c>
      <x:c r="J151" s="17" t="n">
        <x:v>1</x:v>
      </x:c>
    </x:row>
    <x:row r="152">
      <x:c r="A152" s="36" t="str">
        <x:v>Xihao Wang</x:v>
      </x:c>
      <x:c r="B152" s="61" t="str">
        <x:v>王熙昊</x:v>
      </x:c>
      <x:c r="C152" s="61" t="str">
        <x:v>高</x:v>
      </x:c>
      <x:c r="D152" s="36" t="str">
        <x:v>国内中文名单/报道 + WBF阵容交叉</x:v>
      </x:c>
      <x:c r="E152" s="35" t="str">
        <x:v>WBF登记为“Xihao Wang”；国内桥牌资讯中出现“王熙昊”，并用同届比赛、队伍/搭档和活动时间交叉，拼音与中文姓名可形成较唯一对应。</x:v>
      </x:c>
      <x:c r="F152" s="35" t="str">
        <x:v>2017-08-15—2017-08-24｜第5届世界青年公开锦标赛｜U21 Teams / Youngsters Teams｜CHINA
2018-08-08—2018-08-18｜世界青年团体锦标赛｜Youth BAM｜CHINA YOUNGSTERS</x:v>
      </x:c>
      <x:c r="G152" s="35" t="str">
        <x:v>https://sports.sina.cn/others/qipai/2020-07-07/detail-iirczymm1038498.d.html?vt=4</x:v>
      </x:c>
      <x:c r="H152" s="35" t="str">
        <x:v>https://db.worldbridge.org/repository/tourn/lyonyouth.17/microsite/results.htm
https://www.worldbridge.org/competitions/the-world-youth-team-championships/</x:v>
      </x:c>
      <x:c r="I152" s="35" t="str">
        <x:v>仍可能存在WBF名序、空格或旧库拼写差异；以所列中文资料和赛事上下文为判断基础。</x:v>
      </x:c>
      <x:c r="J152" s="36" t="n">
        <x:v>2</x:v>
      </x:c>
    </x:row>
    <x:row r="153">
      <x:c r="A153" s="17" t="str">
        <x:v>Xihong Dai</x:v>
      </x:c>
      <x:c r="B153" s="61" t="str">
        <x:v>戴熙宏</x:v>
      </x:c>
      <x:c r="C153" s="61" t="str">
        <x:v>高</x:v>
      </x:c>
      <x:c r="D153" s="17" t="str">
        <x:v>国内中文名单/报道 + WBF阵容交叉</x:v>
      </x:c>
      <x:c r="E153" s="16" t="str">
        <x:v>WBF登记为“Xihong Dai”；国内桥牌资讯中出现“戴熙宏”，并用同届比赛、队伍/搭档和活动时间交叉，拼音与中文姓名可形成较唯一对应。</x:v>
      </x:c>
      <x:c r="F153" s="16" t="str">
        <x:v>2018-08-08—2018-08-18｜世界青年团体锦标赛｜U16 Teams｜CHINA3</x:v>
      </x:c>
      <x:c r="G153" s="16" t="str">
        <x:v>https://sports.sina.cn/others/qipai/2020-07-07/detail-iirczymm1038498.d.html?vt=4</x:v>
      </x:c>
      <x:c r="H153" s="16" t="str">
        <x:v>https://www.worldbridge.org/competitions/the-world-youth-team-championships/</x:v>
      </x:c>
      <x:c r="I153" s="16" t="str">
        <x:v>仍可能存在WBF名序、空格或旧库拼写差异；以所列中文资料和赛事上下文为判断基础。</x:v>
      </x:c>
      <x:c r="J153" s="17" t="n">
        <x:v>1</x:v>
      </x:c>
    </x:row>
    <x:row r="154">
      <x:c r="A154" s="36" t="str">
        <x:v>Xin Li</x:v>
      </x:c>
      <x:c r="B154" s="78" t="str">
        <x:v>李鑫</x:v>
      </x:c>
      <x:c r="C154" s="78" t="str">
        <x:v>低</x:v>
      </x:c>
      <x:c r="D154" s="36" t="str">
        <x:v>仅拼音最佳猜测</x:v>
      </x:c>
      <x:c r="E154" s="35" t="str">
        <x:v>WBF登记为“Xin Li”；按姓名拼音与中国姓名常见用字给出“李鑫”作为可检索候选。未找到能与同届队伍/搭档闭环的国内中文名单。</x:v>
      </x:c>
      <x:c r="F154" s="35" t="str">
        <x:v>2008-10-03—2008-10-18｜第1届世界智力运动会 / 世界桥牌运动会｜U28 Teams 青年团体｜CHINA</x:v>
      </x:c>
      <x:c r="G154" s="35" t="str"/>
      <x:c r="H154" s="35" t="str">
        <x:v>https://db.worldbridge.org/repository/tourn/Beijing.08/Beijing.htm
https://db.worldbridge.org/repository/tourn/Beijing.08/Asp/knockoutphase.asp?qtournid=708&amp;qphase=PO
https://db.worldbridge.org/repository/tourn/Beijing.08/ASP/participantsDetail.asp?qteamid=5535</x:v>
      </x:c>
      <x:c r="I154" s="35" t="str">
        <x:v>姓氏同音（如 Yu=于/余/俞）及名字同音字均可能；不能视为身份确认。</x:v>
      </x:c>
      <x:c r="J154" s="36" t="n">
        <x:v>1</x:v>
      </x:c>
    </x:row>
    <x:row r="155">
      <x:c r="A155" s="17" t="str">
        <x:v>Xincheng Lyu</x:v>
      </x:c>
      <x:c r="B155" s="78" t="str">
        <x:v>吕欣城</x:v>
      </x:c>
      <x:c r="C155" s="78" t="str">
        <x:v>低</x:v>
      </x:c>
      <x:c r="D155" s="17" t="str">
        <x:v>仅拼音最佳猜测</x:v>
      </x:c>
      <x:c r="E155" s="16" t="str">
        <x:v>WBF登记为“Xincheng Lyu”；按姓名拼音与中国姓名常见用字给出“吕欣城”作为可检索候选。未找到能与同届队伍/搭档闭环的国内中文名单。</x:v>
      </x:c>
      <x:c r="F155" s="16" t="str">
        <x:v>2026-08-03—2026-08-08｜第9届世界青年跨国锦标赛｜U21 Teams｜CHINA RDFZ BAXI</x:v>
      </x:c>
      <x:c r="G155" s="16" t="str"/>
      <x:c r="H155" s="16" t="str">
        <x:v>https://db.worldbridge.org/Repository/tourn/hefei.26/microsite/results.htm</x:v>
      </x:c>
      <x:c r="I155" s="16" t="str">
        <x:v>姓氏同音（如 Yu=于/余/俞）及名字同音字均可能；不能视为身份确认。</x:v>
      </x:c>
      <x:c r="J155" s="17" t="n">
        <x:v>1</x:v>
      </x:c>
    </x:row>
    <x:row r="156">
      <x:c r="A156" s="36" t="str">
        <x:v>Xing Li</x:v>
      </x:c>
      <x:c r="B156" s="78" t="str">
        <x:v>李星</x:v>
      </x:c>
      <x:c r="C156" s="78" t="str">
        <x:v>低</x:v>
      </x:c>
      <x:c r="D156" s="36" t="str">
        <x:v>仅拼音最佳猜测</x:v>
      </x:c>
      <x:c r="E156" s="35" t="str">
        <x:v>WBF登记为“Xing Li”；按姓名拼音与中国姓名常见用字给出“李星”作为可检索候选。未找到能与同届队伍/搭档闭环的国内中文名单。</x:v>
      </x:c>
      <x:c r="F156" s="35" t="str">
        <x:v>2010-10｜世界青年团体锦标赛｜U26 Women Teams｜CHINA</x:v>
      </x:c>
      <x:c r="G156" s="35" t="str"/>
      <x:c r="H156" s="35" t="str">
        <x:v>https://www.worldbridge.org/competitions/the-world-youth-team-championships/</x:v>
      </x:c>
      <x:c r="I156" s="35" t="str">
        <x:v>姓氏同音（如 Yu=于/余/俞）及名字同音字均可能；不能视为身份确认。</x:v>
      </x:c>
      <x:c r="J156" s="36" t="n">
        <x:v>1</x:v>
      </x:c>
    </x:row>
    <x:row r="157">
      <x:c r="A157" s="17" t="str">
        <x:v>Xingxing Shan</x:v>
      </x:c>
      <x:c r="B157" s="78" t="str">
        <x:v>单星星</x:v>
      </x:c>
      <x:c r="C157" s="78" t="str">
        <x:v>低</x:v>
      </x:c>
      <x:c r="D157" s="17" t="str">
        <x:v>仅拼音最佳猜测</x:v>
      </x:c>
      <x:c r="E157" s="16" t="str">
        <x:v>WBF登记为“Xingxing Shan”；按姓名拼音与中国姓名常见用字给出“单星星”作为可检索候选。未找到能与同届队伍/搭档闭环的国内中文名单。</x:v>
      </x:c>
      <x:c r="F157" s="16" t="str">
        <x:v>2010-10｜世界青年团体锦标赛｜U26 Women Teams｜CHINA</x:v>
      </x:c>
      <x:c r="G157" s="16" t="str"/>
      <x:c r="H157" s="16" t="str">
        <x:v>https://www.worldbridge.org/competitions/the-world-youth-team-championships/</x:v>
      </x:c>
      <x:c r="I157" s="16" t="str">
        <x:v>姓氏同音（如 Yu=于/余/俞）及名字同音字均可能；不能视为身份确认。</x:v>
      </x:c>
      <x:c r="J157" s="17" t="n">
        <x:v>1</x:v>
      </x:c>
    </x:row>
    <x:row r="158">
      <x:c r="A158" s="36" t="str">
        <x:v>Xinhao Wu</x:v>
      </x:c>
      <x:c r="B158" s="78" t="str">
        <x:v>吴昕昊</x:v>
      </x:c>
      <x:c r="C158" s="78" t="str">
        <x:v>低</x:v>
      </x:c>
      <x:c r="D158" s="36" t="str">
        <x:v>仅拼音最佳猜测</x:v>
      </x:c>
      <x:c r="E158" s="35" t="str">
        <x:v>WBF登记为“Xinhao Wu”；按姓名拼音与中国姓名常见用字给出“吴昕昊”作为可检索候选。未找到能与同届队伍/搭档闭环的国内中文名单。</x:v>
      </x:c>
      <x:c r="F158" s="35" t="str">
        <x:v>2025-07-12—2025-07-17｜第19届世界青年团体锦标赛｜U16 BAM｜CHINA
2026-08-03—2026-08-08｜第9届世界青年跨国锦标赛｜U16 Pairs｜Xinhao Wu – Yezhen Ji
2026-08-03—2026-08-08｜第9届世界青年跨国锦标赛｜U16 Teams｜NT TTAOQI</x:v>
      </x:c>
      <x:c r="G158" s="35" t="str"/>
      <x:c r="H158" s="35" t="str">
        <x:v>https://www.worldbridge.org/2025/07/19th-world-youth-team-championships-the-winners/
https://db.worldbridge.org/Repository/tourn/hefei.26/microsite/Asp/TotalPairs.asp?qtournid=2668&amp;qgroupno=1&amp;qroundno=3
https://db.worldbridge.org/Repository/tourn/hefei.26/microsite/results.htm</x:v>
      </x:c>
      <x:c r="I158" s="35" t="str">
        <x:v>姓氏同音（如 Yu=于/余/俞）及名字同音字均可能；不能视为身份确认。</x:v>
      </x:c>
      <x:c r="J158" s="36" t="n">
        <x:v>3</x:v>
      </x:c>
    </x:row>
    <x:row r="159">
      <x:c r="A159" s="17" t="str">
        <x:v>Xinyao Ruan</x:v>
      </x:c>
      <x:c r="B159" s="61" t="str">
        <x:v>阮歆瑶</x:v>
      </x:c>
      <x:c r="C159" s="61" t="str">
        <x:v>高</x:v>
      </x:c>
      <x:c r="D159" s="17" t="str">
        <x:v>国内中文名单/报道 + WBF阵容交叉</x:v>
      </x:c>
      <x:c r="E159" s="16" t="str">
        <x:v>WBF登记为“Xinyao Ruan”；国内桥牌资讯中出现“阮歆瑶”，并用同届比赛、队伍/搭档和活动时间交叉，拼音与中文姓名可形成较唯一对应。</x:v>
      </x:c>
      <x:c r="F159" s="16" t="str">
        <x:v>2015-08-20—2015-08-29｜第4届世界青年公开锦标赛｜U26 Women Teams / Girls Teams｜SX XHLD
2016-08-03—2016-08-13｜世界青年团体锦标赛｜U16 Teams｜CHINA2
2017-08-15—2017-08-24｜第5届世界青年公开锦标赛｜U26 Women Pairs / Girls Pairs｜Xinyao Ruan – Yajie Lu
2017-08-15—2017-08-24｜第5届世界青年公开锦标赛｜U26 Women Teams / Girls Teams｜SHENGXING TEAM 1
另有2条，见个人奖牌榜明细</x:v>
      </x:c>
      <x:c r="G159" s="16" t="str">
        <x:v>https://news.qq.com/rain/a/20250828A04GG700</x:v>
      </x:c>
      <x:c r="H159" s="16" t="str">
        <x:v>https://db.worldbridge.org/Repository/tourn/Opatija.15/Microsite/Results.htm
https://www.worldbridge.org/competitions/the-world-youth-team-championships/
https://db.worldbridge.org/repository/tourn/lyonyouth.17/microsite/Asp/TotalPairs.asp?qtournid=1456&amp;qroundno=3&amp;qgroupno=1
https://db.worldbridge.org/repository/tourn/lyonyouth.17/microsite/Asp/knockoutphase.asp?qtournid=1460&amp;qphase=FF
https://www.worldbridge.org/2019/08/6th-world-youth-open-championships-the-teams-and-bam-winners/
https://www.worldbridge.org/2025/07/19th-world-youth-team-championships-the-winners/</x:v>
      </x:c>
      <x:c r="I159" s="16" t="str">
        <x:v>仍可能存在WBF名序、空格或旧库拼写差异；以所列中文资料和赛事上下文为判断基础。</x:v>
      </x:c>
      <x:c r="J159" s="17" t="n">
        <x:v>6</x:v>
      </x:c>
    </x:row>
    <x:row r="160">
      <x:c r="A160" s="36" t="str">
        <x:v>Xinyi Li</x:v>
      </x:c>
      <x:c r="B160" s="61" t="str">
        <x:v>李欣怡</x:v>
      </x:c>
      <x:c r="C160" s="61" t="str">
        <x:v>高</x:v>
      </x:c>
      <x:c r="D160" s="36" t="str">
        <x:v>国内中文名单/报道 + WBF阵容交叉</x:v>
      </x:c>
      <x:c r="E160" s="35" t="str">
        <x:v>WBF登记为“Xinyi Li”；国内桥牌资讯中出现“李欣怡”，并用同届比赛、队伍/搭档和活动时间交叉，拼音与中文姓名可形成较唯一对应。</x:v>
      </x:c>
      <x:c r="F160" s="35" t="str">
        <x:v>2014-08-13—2014-08-23｜世界青年团体锦标赛｜U26 Women Teams｜CHINA
2018-08-08—2018-08-18｜世界青年团体锦标赛｜U26 Women Teams｜CHINA</x:v>
      </x:c>
      <x:c r="G160" s="35" t="str">
        <x:v>https://www.ourgame.com/arranghtml/news7.html</x:v>
      </x:c>
      <x:c r="H160" s="35" t="str">
        <x:v>https://www.worldbridge.org/competitions/the-world-youth-team-championships/</x:v>
      </x:c>
      <x:c r="I160" s="35" t="str">
        <x:v>仍可能存在WBF名序、空格或旧库拼写差异；以所列中文资料和赛事上下文为判断基础。</x:v>
      </x:c>
      <x:c r="J160" s="36" t="n">
        <x:v>2</x:v>
      </x:c>
    </x:row>
    <x:row r="161">
      <x:c r="A161" s="17" t="str">
        <x:v>Xinyi Luo</x:v>
      </x:c>
      <x:c r="B161" s="78" t="str">
        <x:v>罗欣怡</x:v>
      </x:c>
      <x:c r="C161" s="78" t="str">
        <x:v>低</x:v>
      </x:c>
      <x:c r="D161" s="17" t="str">
        <x:v>仅拼音最佳猜测</x:v>
      </x:c>
      <x:c r="E161" s="16" t="str">
        <x:v>WBF登记为“Xinyi Luo”；按姓名拼音与中国姓名常见用字给出“罗欣怡”作为可检索候选。未找到能与同届队伍/搭档闭环的国内中文名单。</x:v>
      </x:c>
      <x:c r="F161" s="16" t="str">
        <x:v>2015-08-20—2015-08-29｜第4届世界青年公开锦标赛｜U26 Women Teams / Girls Teams｜CHINA RDFZ GIRLS</x:v>
      </x:c>
      <x:c r="G161" s="16" t="str"/>
      <x:c r="H161" s="16" t="str">
        <x:v>https://db.worldbridge.org/Repository/tourn/Opatija.15/Microsite/Results.htm</x:v>
      </x:c>
      <x:c r="I161" s="16" t="str">
        <x:v>姓氏同音（如 Yu=于/余/俞）及名字同音字均可能；不能视为身份确认。</x:v>
      </x:c>
      <x:c r="J161" s="17" t="n">
        <x:v>1</x:v>
      </x:c>
    </x:row>
    <x:row r="162">
      <x:c r="A162" s="36" t="str">
        <x:v>Xinyi Ni</x:v>
      </x:c>
      <x:c r="B162" s="61" t="str">
        <x:v>倪馨仪</x:v>
      </x:c>
      <x:c r="C162" s="61" t="str">
        <x:v>高</x:v>
      </x:c>
      <x:c r="D162" s="36" t="str">
        <x:v>国内中文名单/报道 + WBF阵容交叉</x:v>
      </x:c>
      <x:c r="E162" s="35" t="str">
        <x:v>WBF登记为“Xinyi Ni”；国内桥牌资讯中出现“倪馨仪”，并用同届比赛、队伍/搭档和活动时间交叉，拼音与中文姓名可形成较唯一对应。</x:v>
      </x:c>
      <x:c r="F162" s="35" t="str">
        <x:v>2018-08-08—2018-08-18｜世界青年团体锦标赛｜U26 Women Teams｜CHINA</x:v>
      </x:c>
      <x:c r="G162" s="35" t="str">
        <x:v>https://sports.sina.cn/others/qipai/2020-07-07/detail-iirczymm1038498.d.html?vt=4</x:v>
      </x:c>
      <x:c r="H162" s="35" t="str">
        <x:v>https://www.worldbridge.org/competitions/the-world-youth-team-championships/</x:v>
      </x:c>
      <x:c r="I162" s="35" t="str">
        <x:v>仍可能存在WBF名序、空格或旧库拼写差异；以所列中文资料和赛事上下文为判断基础。</x:v>
      </x:c>
      <x:c r="J162" s="36" t="n">
        <x:v>1</x:v>
      </x:c>
    </x:row>
    <x:row r="163">
      <x:c r="A163" s="17" t="str">
        <x:v>Xiufen Chang</x:v>
      </x:c>
      <x:c r="B163" s="78" t="str">
        <x:v>常秀芬</x:v>
      </x:c>
      <x:c r="C163" s="78" t="str">
        <x:v>低</x:v>
      </x:c>
      <x:c r="D163" s="17" t="str">
        <x:v>仅拼音最佳猜测</x:v>
      </x:c>
      <x:c r="E163" s="16" t="str">
        <x:v>WBF登记为“Xiufen Chang”；按姓名拼音与中国姓名常见用字给出“常秀芬”作为可检索候选。未找到能与同届队伍/搭档闭环的国内中文名单。</x:v>
      </x:c>
      <x:c r="F163" s="16" t="str">
        <x:v>2010-10｜世界青年团体锦标赛｜U26 Women Teams｜CHINA</x:v>
      </x:c>
      <x:c r="G163" s="16" t="str"/>
      <x:c r="H163" s="16" t="str">
        <x:v>https://www.worldbridge.org/competitions/the-world-youth-team-championships/</x:v>
      </x:c>
      <x:c r="I163" s="16" t="str">
        <x:v>姓氏同音（如 Yu=于/余/俞）及名字同音字均可能；不能视为身份确认。</x:v>
      </x:c>
      <x:c r="J163" s="17" t="n">
        <x:v>1</x:v>
      </x:c>
    </x:row>
    <x:row r="164">
      <x:c r="A164" s="36" t="str">
        <x:v>Xiuting Yu</x:v>
      </x:c>
      <x:c r="B164" s="61" t="str">
        <x:v>余修婷</x:v>
      </x:c>
      <x:c r="C164" s="61" t="str">
        <x:v>高</x:v>
      </x:c>
      <x:c r="D164" s="36" t="str">
        <x:v>国内中文名单/报道 + WBF阵容交叉</x:v>
      </x:c>
      <x:c r="E164" s="35" t="str">
        <x:v>WBF登记为“Xiuting Yu”；国内桥牌资讯中出现“余修婷”，并用同届比赛、队伍/搭档和活动时间交叉，拼音与中文姓名可形成较唯一对应。</x:v>
      </x:c>
      <x:c r="F164" s="35" t="str">
        <x:v>2023-08｜世界桥牌团体锦标赛｜Venice Cup 女子团体｜CHINA</x:v>
      </x:c>
      <x:c r="G164" s="35" t="str">
        <x:v>https://www.hangzhou2022.cn/xwzx/qqss/202306/t20230616_62558.shtml</x:v>
      </x:c>
      <x:c r="H164" s="35" t="str">
        <x:v>https://www.wbfmasterpoints.com/Medalsreport.asp</x:v>
      </x:c>
      <x:c r="I164" s="35" t="str">
        <x:v>仍可能存在WBF名序、空格或旧库拼写差异；以所列中文资料和赛事上下文为判断基础。</x:v>
      </x:c>
      <x:c r="J164" s="36" t="n">
        <x:v>1</x:v>
      </x:c>
    </x:row>
    <x:row r="165">
      <x:c r="A165" s="17" t="str">
        <x:v>Xu Hou</x:v>
      </x:c>
      <x:c r="B165" s="80" t="str"/>
      <x:c r="C165" s="80" t="str">
        <x:v>空白</x:v>
      </x:c>
      <x:c r="D165" s="17" t="str">
        <x:v>无法可靠推断</x:v>
      </x:c>
      <x:c r="E165" s="16" t="str">
        <x:v>WBF登记为“Xu Hou”；现有公开资料不足以在多个中文写法之间做可靠选择，因此留空。</x:v>
      </x:c>
      <x:c r="F165" s="16" t="str">
        <x:v>2008-10-03—2008-10-18｜第1届世界智力运动会 / 世界桥牌运动会｜Transnational Mixed Teams 跨国混合团体｜A-EVERTRUST HOLDING GROUP</x:v>
      </x:c>
      <x:c r="G165" s="16" t="str"/>
      <x:c r="H165" s="16" t="str">
        <x:v>https://db.worldbridge.org/repository/tourn/Beijing.08/Beijing.htm</x:v>
      </x:c>
      <x:c r="I165" s="16" t="str">
        <x:v>可能含英文名、昵称、旧库拼写或多组同音汉字。</x:v>
      </x:c>
      <x:c r="J165" s="17" t="n">
        <x:v>1</x:v>
      </x:c>
    </x:row>
    <x:row r="166">
      <x:c r="A166" s="36" t="str">
        <x:v>Xuanting He</x:v>
      </x:c>
      <x:c r="B166" s="61" t="str">
        <x:v>何轩霆</x:v>
      </x:c>
      <x:c r="C166" s="61" t="str">
        <x:v>高</x:v>
      </x:c>
      <x:c r="D166" s="36" t="str">
        <x:v>国内中文名单/报道 + WBF阵容交叉</x:v>
      </x:c>
      <x:c r="E166" s="35" t="str">
        <x:v>WBF登记为“Xuanting He”；国内桥牌资讯中出现“何轩霆”，并用同届比赛、队伍/搭档和活动时间交叉，拼音与中文姓名可形成较唯一对应。</x:v>
      </x:c>
      <x:c r="F166" s="35" t="str">
        <x:v>2026-08-03—2026-08-08｜第9届世界青年跨国锦标赛｜U31 Teams｜AGOOFANS</x:v>
      </x:c>
      <x:c r="G166" s="35" t="str">
        <x:v>https://www.xxbridge.com/M.aspx?m=1913&amp;n=6&amp;r=50&amp;t=2</x:v>
      </x:c>
      <x:c r="H166" s="35" t="str">
        <x:v>https://db.worldbridge.org/Repository/tourn/hefei.26/microsite/results.htm</x:v>
      </x:c>
      <x:c r="I166" s="35" t="str">
        <x:v>仍可能存在WBF名序、空格或旧库拼写差异；以所列中文资料和赛事上下文为判断基础。</x:v>
      </x:c>
      <x:c r="J166" s="36" t="n">
        <x:v>1</x:v>
      </x:c>
    </x:row>
    <x:row r="167">
      <x:c r="A167" s="17" t="str">
        <x:v>Xuchen Tang</x:v>
      </x:c>
      <x:c r="B167" s="78" t="str">
        <x:v>唐旭宸</x:v>
      </x:c>
      <x:c r="C167" s="78" t="str">
        <x:v>低</x:v>
      </x:c>
      <x:c r="D167" s="17" t="str">
        <x:v>仅拼音最佳猜测</x:v>
      </x:c>
      <x:c r="E167" s="16" t="str">
        <x:v>WBF登记为“Xuchen Tang”；按姓名拼音与中国姓名常见用字给出“唐旭宸”作为可检索候选。未找到能与同届队伍/搭档闭环的国内中文名单。</x:v>
      </x:c>
      <x:c r="F167" s="16" t="str">
        <x:v>2023-07-31—2023-08-07｜第18届世界青年团体锦标赛｜U16 BAM｜CHINA</x:v>
      </x:c>
      <x:c r="G167" s="16" t="str"/>
      <x:c r="H167" s="16"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c r="I167" s="16" t="str">
        <x:v>姓氏同音（如 Yu=于/余/俞）及名字同音字均可能；不能视为身份确认。</x:v>
      </x:c>
      <x:c r="J167" s="17" t="n">
        <x:v>1</x:v>
      </x:c>
    </x:row>
    <x:row r="168">
      <x:c r="A168" s="36" t="str">
        <x:v>Xuefang Yuan</x:v>
      </x:c>
      <x:c r="B168" s="61" t="str">
        <x:v>袁雪芳</x:v>
      </x:c>
      <x:c r="C168" s="61" t="str">
        <x:v>高</x:v>
      </x:c>
      <x:c r="D168" s="36" t="str">
        <x:v>国内中文名单/报道 + WBF阵容交叉</x:v>
      </x:c>
      <x:c r="E168" s="35" t="str">
        <x:v>WBF登记为“Xuefang Yuan”；国内桥牌资讯中出现“袁雪芳”，并用同届比赛、队伍/搭档和活动时间交叉，拼音与中文姓名可形成较唯一对应。</x:v>
      </x:c>
      <x:c r="F168" s="35" t="str">
        <x:v>2025-08-20—2025-08-31｜第47届世界桥牌团体锦标赛｜Venice Cup 女子团体｜CHINA</x:v>
      </x:c>
      <x:c r="G168" s="35" t="str">
        <x:v>https://news.qq.com/rain/a/20250828A04GG700</x:v>
      </x:c>
      <x:c r="H168" s="35" t="str">
        <x:v>https://www.worldbridge.org/2025/08/congratulations-to-the-champions/</x:v>
      </x:c>
      <x:c r="I168" s="35" t="str">
        <x:v>仍可能存在WBF名序、空格或旧库拼写差异；以所列中文资料和赛事上下文为判断基础。</x:v>
      </x:c>
      <x:c r="J168" s="36" t="n">
        <x:v>1</x:v>
      </x:c>
    </x:row>
    <x:row r="169">
      <x:c r="A169" s="17" t="str">
        <x:v>Xuefeng Feng</x:v>
      </x:c>
      <x:c r="B169" s="61" t="str">
        <x:v>冯学凤</x:v>
      </x:c>
      <x:c r="C169" s="61" t="str">
        <x:v>高</x:v>
      </x:c>
      <x:c r="D169" s="17" t="str">
        <x:v>国内中文名单/报道 + WBF阵容交叉</x:v>
      </x:c>
      <x:c r="E169" s="16" t="str">
        <x:v>WBF登记为“Xuefeng Feng”；国内桥牌资讯中出现“冯学凤”，并用同届比赛、队伍/搭档和活动时间交叉，拼音与中文姓名可形成较唯一对应。</x:v>
      </x:c>
      <x:c r="F169" s="16" t="str">
        <x:v>2010-10｜世界桥牌综合锦标赛｜McConnell Cup 女子淘汰团体｜CHINA LADIES TEAM</x:v>
      </x:c>
      <x:c r="G169" s="16" t="str">
        <x:v>https://sports.sina.cn/others/qipai/2020-07-07/detail-iirczymm1038498.d.html?vt=4</x:v>
      </x:c>
      <x:c r="H169" s="16" t="str">
        <x:v>https://www.wbfmasterpoints.com/Medalsreport.asp</x:v>
      </x:c>
      <x:c r="I169" s="16" t="str">
        <x:v>仍可能存在WBF名序、空格或旧库拼写差异；以所列中文资料和赛事上下文为判断基础。</x:v>
      </x:c>
      <x:c r="J169" s="17" t="n">
        <x:v>1</x:v>
      </x:c>
    </x:row>
    <x:row r="170">
      <x:c r="A170" s="36" t="str">
        <x:v>Xuyang Zhang</x:v>
      </x:c>
      <x:c r="B170" s="78" t="str">
        <x:v>张旭阳</x:v>
      </x:c>
      <x:c r="C170" s="78" t="str">
        <x:v>低</x:v>
      </x:c>
      <x:c r="D170" s="36" t="str">
        <x:v>仅拼音最佳猜测</x:v>
      </x:c>
      <x:c r="E170" s="35" t="str">
        <x:v>WBF登记为“Xuyang Zhang”；按姓名拼音与中国姓名常见用字给出“张旭阳”作为可检索候选。未找到能与同届队伍/搭档闭环的国内中文名单。</x:v>
      </x:c>
      <x:c r="F170" s="35" t="str">
        <x:v>2019-08-20—2019-08-29｜第6届世界青年公开锦标赛｜U16 Teams｜SXSATURN</x:v>
      </x:c>
      <x:c r="G170" s="35" t="str"/>
      <x:c r="H170" s="35" t="str">
        <x:v>https://www.worldbridge.org/2019/08/6th-world-youth-open-championships-the-teams-and-bam-winners/</x:v>
      </x:c>
      <x:c r="I170" s="35" t="str">
        <x:v>姓氏同音（如 Yu=于/余/俞）及名字同音字均可能；不能视为身份确认。</x:v>
      </x:c>
      <x:c r="J170" s="36" t="n">
        <x:v>1</x:v>
      </x:c>
    </x:row>
    <x:row r="171">
      <x:c r="A171" s="17" t="str">
        <x:v>Xuze Xu</x:v>
      </x:c>
      <x:c r="B171" s="78" t="str">
        <x:v>徐旭泽</x:v>
      </x:c>
      <x:c r="C171" s="78" t="str">
        <x:v>低</x:v>
      </x:c>
      <x:c r="D171" s="17" t="str">
        <x:v>仅拼音最佳猜测</x:v>
      </x:c>
      <x:c r="E171" s="16" t="str">
        <x:v>WBF登记为“Xuze Xu”；按姓名拼音与中国姓名常见用字给出“徐旭泽”作为可检索候选。未找到能与同届队伍/搭档闭环的国内中文名单。</x:v>
      </x:c>
      <x:c r="F171" s="16" t="str">
        <x:v>2026-08-03—2026-08-08｜第9届世界青年跨国锦标赛｜U16 Teams｜NT TTAOQI</x:v>
      </x:c>
      <x:c r="G171" s="16" t="str"/>
      <x:c r="H171" s="16" t="str">
        <x:v>https://db.worldbridge.org/Repository/tourn/hefei.26/microsite/results.htm</x:v>
      </x:c>
      <x:c r="I171" s="16" t="str">
        <x:v>姓氏同音（如 Yu=于/余/俞）及名字同音字均可能；不能视为身份确认。</x:v>
      </x:c>
      <x:c r="J171" s="17" t="n">
        <x:v>1</x:v>
      </x:c>
    </x:row>
    <x:row r="172">
      <x:c r="A172" s="36" t="str">
        <x:v>Yajie Lu</x:v>
      </x:c>
      <x:c r="B172" s="61" t="str">
        <x:v>陆雅洁</x:v>
      </x:c>
      <x:c r="C172" s="61" t="str">
        <x:v>高</x:v>
      </x:c>
      <x:c r="D172" s="36" t="str">
        <x:v>国内中文名单/报道 + WBF阵容交叉</x:v>
      </x:c>
      <x:c r="E172" s="35" t="str">
        <x:v>WBF登记为“Yajie Lu”；国内桥牌资讯中出现“陆雅洁”，并用同届比赛、队伍/搭档和活动时间交叉，拼音与中文姓名可形成较唯一对应。</x:v>
      </x:c>
      <x:c r="F172" s="35" t="str">
        <x:v>2017-08-15—2017-08-24｜第5届世界青年公开锦标赛｜U26 Women Pairs / Girls Pairs｜Xinyao Ruan – Yajie Lu
2017-08-15—2017-08-24｜第5届世界青年公开锦标赛｜U26 Women Teams / Girls Teams｜SHENGXING TEAM 1</x:v>
      </x:c>
      <x:c r="G172" s="35" t="str">
        <x:v>https://sports.sina.cn/others/qipai/2020-07-07/detail-iirczymm1038498.d.html?vt=4</x:v>
      </x:c>
      <x:c r="H172" s="35" t="str">
        <x:v>https://db.worldbridge.org/repository/tourn/lyonyouth.17/microsite/Asp/TotalPairs.asp?qtournid=1456&amp;qroundno=3&amp;qgroupno=1
https://db.worldbridge.org/repository/tourn/lyonyouth.17/microsite/Asp/knockoutphase.asp?qtournid=1460&amp;qphase=FF</x:v>
      </x:c>
      <x:c r="I172" s="35" t="str">
        <x:v>仍可能存在WBF名序、空格或旧库拼写差异；以所列中文资料和赛事上下文为判断基础。</x:v>
      </x:c>
      <x:c r="J172" s="36" t="n">
        <x:v>2</x:v>
      </x:c>
    </x:row>
    <x:row r="173">
      <x:c r="A173" s="17" t="str">
        <x:v>Yalan Zhang</x:v>
      </x:c>
      <x:c r="B173" s="61" t="str">
        <x:v>张亚兰</x:v>
      </x:c>
      <x:c r="C173" s="61" t="str">
        <x:v>高</x:v>
      </x:c>
      <x:c r="D173" s="17" t="str">
        <x:v>国内中文名单/报道 + WBF阵容交叉</x:v>
      </x:c>
      <x:c r="E173" s="16" t="str">
        <x:v>WBF登记为“Yalan Zhang”；国内桥牌资讯中出现“张亚兰”，并用同届比赛、队伍/搭档和活动时间交叉，拼音与中文姓名可形成较唯一对应。</x:v>
      </x:c>
      <x:c r="F173" s="16" t="str">
        <x:v>1991｜世界桥牌团体锦标赛｜Venice Cup 女子团体｜CHINA
1996｜世界桥牌团体奥林匹克赛｜女子团体｜CHINA
1997｜世界桥牌团体锦标赛｜Venice Cup 女子团体｜CHINA
2003｜世界桥牌团体锦标赛｜Venice Cup 女子团体｜CHINA
另有3条，见个人奖牌榜明细</x:v>
      </x:c>
      <x:c r="G173" s="16" t="str">
        <x:v>https://www.chinanews.com/ty/2015/04-01/7177669.shtml</x:v>
      </x:c>
      <x:c r="H173" s="16" t="str">
        <x:v>https://www.wbfmasterpoints.com/Medalsreport.asp
https://db.worldbridge.org/repository/tourn/Beijing.08/Beijing.htm</x:v>
      </x:c>
      <x:c r="I173" s="16" t="str">
        <x:v>仍可能存在WBF名序、空格或旧库拼写差异；以所列中文资料和赛事上下文为判断基础。</x:v>
      </x:c>
      <x:c r="J173" s="17" t="n">
        <x:v>7</x:v>
      </x:c>
    </x:row>
    <x:row r="174">
      <x:c r="A174" s="36" t="str">
        <x:v>Yan Huang</x:v>
      </x:c>
      <x:c r="B174" s="61" t="str">
        <x:v>黄艳</x:v>
      </x:c>
      <x:c r="C174" s="61" t="str">
        <x:v>高</x:v>
      </x:c>
      <x:c r="D174" s="36" t="str">
        <x:v>国内中文名单/报道 + WBF阵容交叉</x:v>
      </x:c>
      <x:c r="E174" s="35" t="str">
        <x:v>WBF登记为“Yan Huang”；国内桥牌资讯中出现“黄艳”，并用同届比赛、队伍/搭档和活动时间交叉，拼音与中文姓名可形成较唯一对应。</x:v>
      </x:c>
      <x:c r="F174" s="35" t="str">
        <x:v>2008-10-03—2008-10-18｜第1届世界智力运动会 / 世界桥牌运动会｜Transnational Mixed Teams 跨国混合团体｜A-EVERTRUST HOLDING GROUP
2014-10｜世界桥牌综合锦标赛｜Women Pairs 女子双人｜Yan Huang – Ling Gan
2016｜世界桥牌运动会｜World National Women Teams 女子国家团体｜CHINA
2017｜世界桥牌团体锦标赛｜Venice Cup 女子团体｜CHINA
另有3条，见个人奖牌榜明细</x:v>
      </x:c>
      <x:c r="G174" s="35" t="str">
        <x:v>https://www.hangzhou2022.cn/xwzx/qqss/202306/t20230616_62558.shtml</x:v>
      </x:c>
      <x:c r="H174" s="35" t="str">
        <x:v>https://db.worldbridge.org/repository/tourn/Beijing.08/Beijing.htm
https://www.wbfmasterpoints.com/Medalsreport.asp</x:v>
      </x:c>
      <x:c r="I174" s="35" t="str">
        <x:v>仍可能存在WBF名序、空格或旧库拼写差异；以所列中文资料和赛事上下文为判断基础。</x:v>
      </x:c>
      <x:c r="J174" s="36" t="n">
        <x:v>7</x:v>
      </x:c>
    </x:row>
    <x:row r="175">
      <x:c r="A175" s="17" t="str">
        <x:v>Yan Liu</x:v>
      </x:c>
      <x:c r="B175" s="61" t="str">
        <x:v>刘艳</x:v>
      </x:c>
      <x:c r="C175" s="61" t="str">
        <x:v>高</x:v>
      </x:c>
      <x:c r="D175" s="17" t="str">
        <x:v>国内中文名单/报道 + WBF阵容交叉</x:v>
      </x:c>
      <x:c r="E175" s="16" t="str">
        <x:v>WBF登记为“Yan Liu”；国内桥牌资讯中出现“刘艳”，并用同届比赛、队伍/搭档和活动时间交叉，拼音与中文姓名可形成较唯一对应。</x:v>
      </x:c>
      <x:c r="F175" s="16" t="str">
        <x:v>2016｜世界桥牌运动会｜World National Women Teams 女子国家团体｜CHINA
2017｜世界桥牌团体锦标赛｜Venice Cup 女子团体｜CHINA
2019-09｜世界桥牌团体锦标赛｜Venice Cup 女子团体｜CHINA
2023-08｜世界桥牌团体锦标赛｜Venice Cup 女子团体｜CHINA</x:v>
      </x:c>
      <x:c r="G175" s="16" t="str">
        <x:v>https://www.hangzhou2022.cn/xwzx/qqss/202306/t20230616_62558.shtml</x:v>
      </x:c>
      <x:c r="H175" s="16" t="str">
        <x:v>https://www.wbfmasterpoints.com/Medalsreport.asp</x:v>
      </x:c>
      <x:c r="I175" s="16" t="str">
        <x:v>仍可能存在WBF名序、空格或旧库拼写差异；以所列中文资料和赛事上下文为判断基础。</x:v>
      </x:c>
      <x:c r="J175" s="17" t="n">
        <x:v>4</x:v>
      </x:c>
    </x:row>
    <x:row r="176">
      <x:c r="A176" s="36" t="str">
        <x:v>Yan Lu</x:v>
      </x:c>
      <x:c r="B176" s="61" t="str">
        <x:v>卢燕</x:v>
      </x:c>
      <x:c r="C176" s="61" t="str">
        <x:v>高</x:v>
      </x:c>
      <x:c r="D176" s="36" t="str">
        <x:v>国内中文名单/报道 + WBF阵容交叉</x:v>
      </x:c>
      <x:c r="E176" s="35" t="str">
        <x:v>WBF登记为“Yan Lu”；国内桥牌资讯中出现“卢燕”，并用同届比赛、队伍/搭档和活动时间交叉，拼音与中文姓名可形成较唯一对应。</x:v>
      </x:c>
      <x:c r="F176" s="35" t="str">
        <x:v>1997｜世界桥牌团体锦标赛｜Venice Cup 女子团体｜CHINA
2004｜世界桥牌奥林匹克赛｜Transnational Mixed Teams 跨国混合团体｜CHINA
2010-10｜世界桥牌综合锦标赛｜McConnell Cup 女子淘汰团体｜CHINA LADIES TEAM
2014-10｜世界桥牌综合锦标赛｜Women Teams 女子团体｜CHINA
另有5条，见个人奖牌榜明细</x:v>
      </x:c>
      <x:c r="G176" s="35" t="str">
        <x:v>https://news.qq.com/rain/a/20250828A04GG700</x:v>
      </x:c>
      <x:c r="H176" s="35" t="str">
        <x:v>https://www.wbfmasterpoints.com/Medalsreport.asp
https://www.worldbridge.org/2024/11/world-bridge-games-2024-the-winners/
https://www.worldbridge.org/2025/08/congratulations-to-the-champions/</x:v>
      </x:c>
      <x:c r="I176" s="35" t="str">
        <x:v>仍可能存在WBF名序、空格或旧库拼写差异；以所列中文资料和赛事上下文为判断基础。</x:v>
      </x:c>
      <x:c r="J176" s="36" t="n">
        <x:v>9</x:v>
      </x:c>
    </x:row>
    <x:row r="177">
      <x:c r="A177" s="17" t="str">
        <x:v>Yanfeng Chen</x:v>
      </x:c>
      <x:c r="B177" s="61" t="str">
        <x:v>陈彦丰</x:v>
      </x:c>
      <x:c r="C177" s="61" t="str">
        <x:v>高</x:v>
      </x:c>
      <x:c r="D177" s="17" t="str">
        <x:v>国内中文名单/报道 + WBF阵容交叉</x:v>
      </x:c>
      <x:c r="E177" s="16" t="str">
        <x:v>WBF登记为“Yanfeng Chen”；国内桥牌资讯中出现“陈彦丰”，并用同届比赛、队伍/搭档和活动时间交叉，拼音与中文姓名可形成较唯一对应。</x:v>
      </x:c>
      <x:c r="F177" s="16" t="str">
        <x:v>2016-08-03—2016-08-13｜世界青年团体锦标赛｜U26 Teams｜CHINA</x:v>
      </x:c>
      <x:c r="G177" s="16" t="str">
        <x:v>https://sports.sina.cn/others/qipai/2020-07-07/detail-iirczymm1038498.d.html?vt=4</x:v>
      </x:c>
      <x:c r="H177" s="16" t="str">
        <x:v>https://www.worldbridge.org/competitions/the-world-youth-team-championships/</x:v>
      </x:c>
      <x:c r="I177" s="16" t="str">
        <x:v>仍可能存在WBF名序、空格或旧库拼写差异；以所列中文资料和赛事上下文为判断基础。</x:v>
      </x:c>
      <x:c r="J177" s="17" t="n">
        <x:v>1</x:v>
      </x:c>
    </x:row>
    <x:row r="178">
      <x:c r="A178" s="36" t="str">
        <x:v>Yang Yang</x:v>
      </x:c>
      <x:c r="B178" s="61" t="str">
        <x:v>杨扬</x:v>
      </x:c>
      <x:c r="C178" s="61" t="str">
        <x:v>高</x:v>
      </x:c>
      <x:c r="D178" s="36" t="str">
        <x:v>国内中文名单/报道 + WBF阵容交叉</x:v>
      </x:c>
      <x:c r="E178" s="35" t="str">
        <x:v>WBF登记为“Yang Yang”；国内桥牌资讯中出现“杨扬”，并用同届比赛、队伍/搭档和活动时间交叉，拼音与中文姓名可形成较唯一对应。</x:v>
      </x:c>
      <x:c r="F178" s="35" t="str">
        <x:v>2018-08-08—2018-08-18｜世界青年团体锦标赛｜U26 Women Teams｜CHINA</x:v>
      </x:c>
      <x:c r="G178" s="35" t="str">
        <x:v>https://sports.sina.cn/others/qipai/2020-07-07/detail-iirczymm1038498.d.html?vt=4</x:v>
      </x:c>
      <x:c r="H178" s="35" t="str">
        <x:v>https://www.worldbridge.org/competitions/the-world-youth-team-championships/</x:v>
      </x:c>
      <x:c r="I178" s="35" t="str">
        <x:v>仍可能存在WBF名序、空格或旧库拼写差异；以所列中文资料和赛事上下文为判断基础。</x:v>
      </x:c>
      <x:c r="J178" s="36" t="n">
        <x:v>1</x:v>
      </x:c>
    </x:row>
    <x:row r="179">
      <x:c r="A179" s="17" t="str">
        <x:v>Yanhua Hu</x:v>
      </x:c>
      <x:c r="B179" s="78" t="str">
        <x:v>胡彦华</x:v>
      </x:c>
      <x:c r="C179" s="78" t="str">
        <x:v>低</x:v>
      </x:c>
      <x:c r="D179" s="17" t="str">
        <x:v>仅拼音最佳猜测</x:v>
      </x:c>
      <x:c r="E179" s="16" t="str">
        <x:v>WBF登记为“Yanhua Hu”；按姓名拼音与中国姓名常见用字给出“胡彦华”作为可检索候选。未找到能与同届队伍/搭档闭环的国内中文名单。</x:v>
      </x:c>
      <x:c r="F179" s="16" t="str">
        <x:v>2026-08-03—2026-08-08｜第9届世界青年跨国锦标赛｜U16 Teams｜NT TTAOQI</x:v>
      </x:c>
      <x:c r="G179" s="16" t="str"/>
      <x:c r="H179" s="16" t="str">
        <x:v>https://db.worldbridge.org/Repository/tourn/hefei.26/microsite/results.htm</x:v>
      </x:c>
      <x:c r="I179" s="16" t="str">
        <x:v>姓氏同音（如 Yu=于/余/俞）及名字同音字均可能；不能视为身份确认。</x:v>
      </x:c>
      <x:c r="J179" s="17" t="n">
        <x:v>1</x:v>
      </x:c>
    </x:row>
    <x:row r="180">
      <x:c r="A180" s="36" t="str">
        <x:v>Yanhui Sun</x:v>
      </x:c>
      <x:c r="B180" s="61" t="str">
        <x:v>孙燕慧</x:v>
      </x:c>
      <x:c r="C180" s="61" t="str">
        <x:v>高</x:v>
      </x:c>
      <x:c r="D180" s="36" t="str">
        <x:v>国内中文名单/报道 + WBF阵容交叉</x:v>
      </x:c>
      <x:c r="E180" s="35" t="str">
        <x:v>WBF登记为“Yanhui Sun”；国内桥牌资讯中出现“孙燕慧”，并用同届比赛、队伍/搭档和活动时间交叉，拼音与中文姓名可形成较唯一对应。</x:v>
      </x:c>
      <x:c r="F180" s="35" t="str">
        <x:v>2024-10-22—2024-11-03｜第16届世界桥牌运动会｜Mixed Teams 混合团体｜CHINA</x:v>
      </x:c>
      <x:c r="G180" s="35" t="str">
        <x:v>https://finance.sina.com.cn/jjxw/2024-10-21/doc-incthnhe8757232.shtml</x:v>
      </x:c>
      <x:c r="H180" s="35" t="str">
        <x:v>https://www.worldbridge.org/2024/11/world-bridge-games-2024-the-winners/</x:v>
      </x:c>
      <x:c r="I180" s="35" t="str">
        <x:v>仍可能存在WBF名序、空格或旧库拼写差异；以所列中文资料和赛事上下文为判断基础。</x:v>
      </x:c>
      <x:c r="J180" s="36" t="n">
        <x:v>1</x:v>
      </x:c>
    </x:row>
    <x:row r="181">
      <x:c r="A181" s="17" t="str">
        <x:v>Yanjia Hu</x:v>
      </x:c>
      <x:c r="B181" s="78" t="str">
        <x:v>胡彦嘉</x:v>
      </x:c>
      <x:c r="C181" s="78" t="str">
        <x:v>低</x:v>
      </x:c>
      <x:c r="D181" s="17" t="str">
        <x:v>仅拼音最佳猜测</x:v>
      </x:c>
      <x:c r="E181" s="16" t="str">
        <x:v>WBF登记为“Yanjia Hu”；按姓名拼音与中国姓名常见用字给出“胡彦嘉”作为可检索候选。未找到能与同届队伍/搭档闭环的国内中文名单。</x:v>
      </x:c>
      <x:c r="F181" s="16" t="str">
        <x:v>2026-08-03—2026-08-08｜第9届世界青年跨国锦标赛｜U16 Teams｜NT TTAOQI</x:v>
      </x:c>
      <x:c r="G181" s="16" t="str"/>
      <x:c r="H181" s="16" t="str">
        <x:v>https://db.worldbridge.org/Repository/tourn/hefei.26/microsite/results.htm</x:v>
      </x:c>
      <x:c r="I181" s="16" t="str">
        <x:v>姓氏同音（如 Yu=于/余/俞）及名字同音字均可能；不能视为身份确认。</x:v>
      </x:c>
      <x:c r="J181" s="17" t="n">
        <x:v>1</x:v>
      </x:c>
    </x:row>
    <x:row r="182">
      <x:c r="A182" s="36" t="str">
        <x:v>Yanjiao Liu</x:v>
      </x:c>
      <x:c r="B182" s="78" t="str">
        <x:v>刘彦娇</x:v>
      </x:c>
      <x:c r="C182" s="78" t="str">
        <x:v>低</x:v>
      </x:c>
      <x:c r="D182" s="36" t="str">
        <x:v>仅拼音最佳猜测</x:v>
      </x:c>
      <x:c r="E182" s="35" t="str">
        <x:v>WBF登记为“Yanjiao Liu”；按姓名拼音与中国姓名常见用字给出“刘彦娇”作为可检索候选。未找到能与同届队伍/搭档闭环的国内中文名单。</x:v>
      </x:c>
      <x:c r="F182" s="35" t="str">
        <x:v>2010-10｜世界青年团体锦标赛｜U26 Women Teams｜CHINA</x:v>
      </x:c>
      <x:c r="G182" s="35" t="str"/>
      <x:c r="H182" s="35" t="str">
        <x:v>https://www.worldbridge.org/competitions/the-world-youth-team-championships/</x:v>
      </x:c>
      <x:c r="I182" s="35" t="str">
        <x:v>姓氏同音（如 Yu=于/余/俞）及名字同音字均可能；不能视为身份确认。</x:v>
      </x:c>
      <x:c r="J182" s="36" t="n">
        <x:v>1</x:v>
      </x:c>
    </x:row>
    <x:row r="183">
      <x:c r="A183" s="17" t="str">
        <x:v>Yanting Mao</x:v>
      </x:c>
      <x:c r="B183" s="78" t="str">
        <x:v>毛妍婷</x:v>
      </x:c>
      <x:c r="C183" s="78" t="str">
        <x:v>低</x:v>
      </x:c>
      <x:c r="D183" s="17" t="str">
        <x:v>仅拼音最佳猜测</x:v>
      </x:c>
      <x:c r="E183" s="16" t="str">
        <x:v>WBF登记为“Yanting Mao”；按姓名拼音与中国姓名常见用字给出“毛妍婷”作为可检索候选。未找到能与同届队伍/搭档闭环的国内中文名单。</x:v>
      </x:c>
      <x:c r="F183" s="16" t="str">
        <x:v>2017-08-15—2017-08-24｜第5届世界青年公开锦标赛｜U26 Women Teams / Girls Teams｜SH XIN JIANGNAN TEAM</x:v>
      </x:c>
      <x:c r="G183" s="16" t="str"/>
      <x:c r="H183" s="16" t="str">
        <x:v>https://db.worldbridge.org/repository/tourn/lyonyouth.17/microsite/Asp/knockoutphase.asp?qtournid=1460&amp;qphase=FF</x:v>
      </x:c>
      <x:c r="I183" s="16" t="str">
        <x:v>姓氏同音（如 Yu=于/余/俞）及名字同音字均可能；不能视为身份确认。</x:v>
      </x:c>
      <x:c r="J183" s="17" t="n">
        <x:v>1</x:v>
      </x:c>
    </x:row>
    <x:row r="184">
      <x:c r="A184" s="36" t="str">
        <x:v>Yanzhuo Fu</x:v>
      </x:c>
      <x:c r="B184" s="61" t="str">
        <x:v>傅彦卓</x:v>
      </x:c>
      <x:c r="C184" s="61" t="str">
        <x:v>高</x:v>
      </x:c>
      <x:c r="D184" s="36" t="str">
        <x:v>国内中文名单/报道 + WBF阵容交叉</x:v>
      </x:c>
      <x:c r="E184" s="35" t="str">
        <x:v>WBF登记为“Yanzhuo Fu”；国内桥牌资讯中出现“傅彦卓”，并用同届比赛、队伍/搭档和活动时间交叉，拼音与中文姓名可形成较唯一对应。</x:v>
      </x:c>
      <x:c r="F184" s="35" t="str">
        <x:v>2019-08-20—2019-08-29｜第6届世界青年公开锦标赛｜U16 Teams｜SXMARS</x:v>
      </x:c>
      <x:c r="G184" s="35" t="str">
        <x:v>https://sports.sina.cn/others/qipai/2020-07-07/detail-iirczymm1038498.d.html?vt=4</x:v>
      </x:c>
      <x:c r="H184" s="35" t="str">
        <x:v>https://www.worldbridge.org/2019/08/6th-world-youth-open-championships-the-teams-and-bam-winners/</x:v>
      </x:c>
      <x:c r="I184" s="35" t="str">
        <x:v>仍可能存在WBF名序、空格或旧库拼写差异；以所列中文资料和赛事上下文为判断基础。</x:v>
      </x:c>
      <x:c r="J184" s="36" t="n">
        <x:v>1</x:v>
      </x:c>
    </x:row>
    <x:row r="185">
      <x:c r="A185" s="17" t="str">
        <x:v>Yezhen Ji</x:v>
      </x:c>
      <x:c r="B185" s="78" t="str">
        <x:v>季烨臻</x:v>
      </x:c>
      <x:c r="C185" s="78" t="str">
        <x:v>低</x:v>
      </x:c>
      <x:c r="D185" s="17" t="str">
        <x:v>仅拼音最佳猜测</x:v>
      </x:c>
      <x:c r="E185" s="16" t="str">
        <x:v>WBF登记为“Yezhen Ji”；按姓名拼音与中国姓名常见用字给出“季烨臻”作为可检索候选。未找到能与同届队伍/搭档闭环的国内中文名单。</x:v>
      </x:c>
      <x:c r="F185" s="16" t="str">
        <x:v>2025-07-12—2025-07-17｜第19届世界青年团体锦标赛｜U16 BAM｜CHINA
2026-08-03—2026-08-08｜第9届世界青年跨国锦标赛｜U16 Pairs｜Xinhao Wu – Yezhen Ji</x:v>
      </x:c>
      <x:c r="G185" s="16" t="str"/>
      <x:c r="H185" s="16" t="str">
        <x:v>https://www.worldbridge.org/2025/07/19th-world-youth-team-championships-the-winners/
https://db.worldbridge.org/Repository/tourn/hefei.26/microsite/Asp/TotalPairs.asp?qtournid=2668&amp;qgroupno=1&amp;qroundno=3</x:v>
      </x:c>
      <x:c r="I185" s="16" t="str">
        <x:v>姓氏同音（如 Yu=于/余/俞）及名字同音字均可能；不能视为身份确认。</x:v>
      </x:c>
      <x:c r="J185" s="17" t="n">
        <x:v>2</x:v>
      </x:c>
    </x:row>
    <x:row r="186">
      <x:c r="A186" s="36" t="str">
        <x:v>Yi Qian Liu</x:v>
      </x:c>
      <x:c r="B186" s="61" t="str">
        <x:v>刘逸倩</x:v>
      </x:c>
      <x:c r="C186" s="61" t="str">
        <x:v>高</x:v>
      </x:c>
      <x:c r="D186" s="36" t="str">
        <x:v>国内中文名单/报道 + WBF阵容交叉</x:v>
      </x:c>
      <x:c r="E186" s="35" t="str">
        <x:v>WBF登记为“Yi Qian Liu”；国内桥牌资讯中出现“刘逸倩”，并用同届比赛、队伍/搭档和活动时间交叉，拼音与中文姓名可形成较唯一对应。</x:v>
      </x:c>
      <x:c r="F186" s="35" t="str">
        <x:v>1991｜世界桥牌团体锦标赛｜Venice Cup 女子团体｜CHINA
2007｜世界桥牌团体锦标赛｜Venice Cup 女子团体｜CHINA
2008-10-03—2008-10-18｜第1届世界智力运动会 / 世界桥牌运动会｜Women Teams 女子团体｜CHINA
2009-08-29—2009-09-12｜世界桥牌团体锦标赛｜Venice Cup 女子团体｜CHINA LONG ZHU
另有3条，见个人奖牌榜明细</x:v>
      </x:c>
      <x:c r="G186" s="35" t="str">
        <x:v>https://www.ourgame.com/arranghtml/news7.html</x:v>
      </x:c>
      <x:c r="H186" s="35" t="str">
        <x:v>https://www.wbfmasterpoints.com/Medalsreport.asp
https://db.worldbridge.org/repository/tourn/Beijing.08/Beijing.htm
https://db.worldbridge.org/Repository/tourn/SaoPaulo.09/SaoPaulo.htm</x:v>
      </x:c>
      <x:c r="I186" s="35" t="str">
        <x:v>仍可能存在WBF名序、空格或旧库拼写差异；以所列中文资料和赛事上下文为判断基础。</x:v>
      </x:c>
      <x:c r="J186" s="36" t="n">
        <x:v>7</x:v>
      </x:c>
    </x:row>
    <x:row r="187">
      <x:c r="A187" s="17" t="str">
        <x:v>Yichao Chen</x:v>
      </x:c>
      <x:c r="B187" s="61" t="str">
        <x:v>陈一超</x:v>
      </x:c>
      <x:c r="C187" s="61" t="str">
        <x:v>高</x:v>
      </x:c>
      <x:c r="D187" s="17" t="str">
        <x:v>国内中文名单/报道 + WBF阵容交叉</x:v>
      </x:c>
      <x:c r="E187" s="16" t="str">
        <x:v>WBF登记为“Yichao Chen”；国内桥牌资讯中出现“陈一超”，并用同届比赛、队伍/搭档和活动时间交叉，拼音与中文姓名可形成较唯一对应。</x:v>
      </x:c>
      <x:c r="F187" s="16" t="str">
        <x:v>2008-10-03—2008-10-18｜第1届世界智力运动会 / 世界桥牌运动会｜U21 Teams 青年团体｜CHINA
2010-10｜世界青年团体锦标赛｜U26 Teams｜CHINA
2012-07-25—2012-08-04｜世界青年团体锦标赛｜U26 Teams｜CHINA
2024-10-22—2024-11-03｜第16届世界桥牌运动会｜Mixed Teams 混合团体｜CHINA
另有1条，见个人奖牌榜明细</x:v>
      </x:c>
      <x:c r="G187" s="16" t="str">
        <x:v>https://news.qq.com/rain/a/20250828A04GG700</x:v>
      </x:c>
      <x:c r="H187" s="16" t="str">
        <x:v>https://db.worldbridge.org/repository/tourn/Beijing.08/Beijing.htm
https://www.worldbridge.org/competitions/the-world-youth-team-championships/
https://www.worldbridge.org/2024/11/world-bridge-games-2024-the-winners/
https://www.worldbridge.org/2025/08/congratulations-to-the-champions/</x:v>
      </x:c>
      <x:c r="I187" s="16" t="str">
        <x:v>仍可能存在WBF名序、空格或旧库拼写差异；以所列中文资料和赛事上下文为判断基础。</x:v>
      </x:c>
      <x:c r="J187" s="17" t="n">
        <x:v>5</x:v>
      </x:c>
    </x:row>
    <x:row r="188">
      <x:c r="A188" s="36" t="str">
        <x:v>Yichen Luo</x:v>
      </x:c>
      <x:c r="B188" s="78" t="str">
        <x:v>罗奕辰</x:v>
      </x:c>
      <x:c r="C188" s="78" t="str">
        <x:v>低</x:v>
      </x:c>
      <x:c r="D188" s="36" t="str">
        <x:v>仅拼音最佳猜测</x:v>
      </x:c>
      <x:c r="E188" s="35" t="str">
        <x:v>WBF登记为“Yichen Luo”；按姓名拼音与中国姓名常见用字给出“罗奕辰”作为可检索候选。未找到能与同届队伍/搭档闭环的国内中文名单。</x:v>
      </x:c>
      <x:c r="F188" s="35" t="str">
        <x:v>2026-08-03—2026-08-08｜第9届世界青年跨国锦标赛｜U16 Teams｜NT TTAOQI</x:v>
      </x:c>
      <x:c r="G188" s="35" t="str"/>
      <x:c r="H188" s="35" t="str">
        <x:v>https://db.worldbridge.org/Repository/tourn/hefei.26/microsite/results.htm</x:v>
      </x:c>
      <x:c r="I188" s="35" t="str">
        <x:v>姓氏同音（如 Yu=于/余/俞）及名字同音字均可能；不能视为身份确认。</x:v>
      </x:c>
      <x:c r="J188" s="36" t="n">
        <x:v>1</x:v>
      </x:c>
    </x:row>
    <x:row r="189">
      <x:c r="A189" s="17" t="str">
        <x:v>Yichen Yin</x:v>
      </x:c>
      <x:c r="B189" s="61" t="str">
        <x:v>尹逸尘</x:v>
      </x:c>
      <x:c r="C189" s="61" t="str">
        <x:v>高</x:v>
      </x:c>
      <x:c r="D189" s="17" t="str">
        <x:v>国内中文名单/报道 + WBF阵容交叉</x:v>
      </x:c>
      <x:c r="E189" s="16" t="str">
        <x:v>WBF登记为“Yichen Yin”；国内桥牌资讯中出现“尹逸尘”，并用同届比赛、队伍/搭档和活动时间交叉，拼音与中文姓名可形成较唯一对应。</x:v>
      </x:c>
      <x:c r="F189" s="16" t="str">
        <x:v>2015-08-20—2015-08-29｜第4届世界青年公开锦标赛｜U21 Pairs｜Yichen Yin – Zhengyang Fang
2015-08-20—2015-08-29｜第4届世界青年公开锦标赛｜U21 Teams / Youngsters Teams｜CHINA</x:v>
      </x:c>
      <x:c r="G189" s="16" t="str">
        <x:v>https://www.chinanews.com/ty/2015/04-01/7177669.shtml</x:v>
      </x:c>
      <x:c r="H189" s="16" t="str">
        <x:v>https://www.worldbridge.org/competitions/the-world-youth-transnational-bridge-championships/
https://db.worldbridge.org/repository/tourn/opatija.15/Microsite/Results.htm</x:v>
      </x:c>
      <x:c r="I189" s="16" t="str">
        <x:v>仍可能存在WBF名序、空格或旧库拼写差异；以所列中文资料和赛事上下文为判断基础。</x:v>
      </x:c>
      <x:c r="J189" s="17" t="n">
        <x:v>2</x:v>
      </x:c>
    </x:row>
    <x:row r="190">
      <x:c r="A190" s="36" t="str">
        <x:v>Yici Wang</x:v>
      </x:c>
      <x:c r="B190" s="78" t="str">
        <x:v>王依慈</x:v>
      </x:c>
      <x:c r="C190" s="78" t="str">
        <x:v>低</x:v>
      </x:c>
      <x:c r="D190" s="36" t="str">
        <x:v>仅拼音最佳猜测</x:v>
      </x:c>
      <x:c r="E190" s="35" t="str">
        <x:v>WBF登记为“Yici Wang”；按姓名拼音与中国姓名常见用字给出“王依慈”作为可检索候选。未找到能与同届队伍/搭档闭环的国内中文名单。</x:v>
      </x:c>
      <x:c r="F190" s="35" t="str">
        <x:v>2017-08-15—2017-08-24｜第5届世界青年公开锦标赛｜U26 Women Teams / Girls Teams｜SH XIN JIANGNAN TEAM</x:v>
      </x:c>
      <x:c r="G190" s="35" t="str"/>
      <x:c r="H190" s="35" t="str">
        <x:v>https://db.worldbridge.org/repository/tourn/lyonyouth.17/microsite/Asp/knockoutphase.asp?qtournid=1460&amp;qphase=FF</x:v>
      </x:c>
      <x:c r="I190" s="35" t="str">
        <x:v>姓氏同音（如 Yu=于/余/俞）及名字同音字均可能；不能视为身份确认。</x:v>
      </x:c>
      <x:c r="J190" s="36" t="n">
        <x:v>1</x:v>
      </x:c>
    </x:row>
    <x:row r="191">
      <x:c r="A191" s="17" t="str">
        <x:v>Yide Luo</x:v>
      </x:c>
      <x:c r="B191" s="67" t="str">
        <x:v>罗以德</x:v>
      </x:c>
      <x:c r="C191" s="67" t="str">
        <x:v>中</x:v>
      </x:c>
      <x:c r="D191" s="17" t="str">
        <x:v>赛事时间、队伍/搭档与拼音交叉</x:v>
      </x:c>
      <x:c r="E191" s="16" t="str">
        <x:v>WBF登记为“Yide Luo”；结合所列赛事年代、年龄组、队伍/搭档与国内常见写法，最佳候选为“罗以德”。尚缺一份能同时列出英文拼音与中文全名的直接名单。</x:v>
      </x:c>
      <x:c r="F191" s="16" t="str">
        <x:v>2019-09｜世界桥牌团体锦标赛｜Transnational Open Teams 跨国公开团体｜CHINA</x:v>
      </x:c>
      <x:c r="G191" s="16" t="str"/>
      <x:c r="H191" s="16" t="str">
        <x:v>https://www.wbfmasterpoints.com/Medalsreport.asp</x:v>
      </x:c>
      <x:c r="I191" s="16" t="str">
        <x:v>汉字可能有同音替代，故标为中确定度；国内资料栏不填，避免把间接报道当成直接证据。</x:v>
      </x:c>
      <x:c r="J191" s="17" t="n">
        <x:v>1</x:v>
      </x:c>
    </x:row>
    <x:row r="192">
      <x:c r="A192" s="36" t="str">
        <x:v>Yihong Liu</x:v>
      </x:c>
      <x:c r="B192" s="78" t="str">
        <x:v>刘奕宏</x:v>
      </x:c>
      <x:c r="C192" s="78" t="str">
        <x:v>低</x:v>
      </x:c>
      <x:c r="D192" s="36" t="str">
        <x:v>仅拼音最佳猜测</x:v>
      </x:c>
      <x:c r="E192" s="35" t="str">
        <x:v>WBF登记为“Yihong Liu”；按姓名拼音与中国姓名常见用字给出“刘奕宏”作为可检索候选。未找到能与同届队伍/搭档闭环的国内中文名单。</x:v>
      </x:c>
      <x:c r="F192" s="35" t="str">
        <x:v>2015-08-20—2015-08-29｜第4届世界青年公开锦标赛｜U16 Teams / Kids Teams｜SX XNWY
2017-08-15—2017-08-24｜第5届世界青年公开锦标赛｜U21 Teams / Youngsters Teams｜SHENGXING TEAM</x:v>
      </x:c>
      <x:c r="G192" s="35" t="str"/>
      <x:c r="H192" s="35" t="str">
        <x:v>https://www.worldbridge.org/competitions/the-world-youth-transnational-bridge-championships/
https://db.worldbridge.org/repository/tourn/lyonyouth.17/microsite/results.htm</x:v>
      </x:c>
      <x:c r="I192" s="35" t="str">
        <x:v>姓氏同音（如 Yu=于/余/俞）及名字同音字均可能；不能视为身份确认。</x:v>
      </x:c>
      <x:c r="J192" s="36" t="n">
        <x:v>2</x:v>
      </x:c>
    </x:row>
    <x:row r="193">
      <x:c r="A193" s="17" t="str">
        <x:v>Yijia Lu</x:v>
      </x:c>
      <x:c r="B193" s="61" t="str">
        <x:v>陆亦佳</x:v>
      </x:c>
      <x:c r="C193" s="61" t="str">
        <x:v>高</x:v>
      </x:c>
      <x:c r="D193" s="17" t="str">
        <x:v>国内中文名单/报道 + WBF阵容交叉</x:v>
      </x:c>
      <x:c r="E193" s="16" t="str">
        <x:v>WBF登记为“Yijia Lu”；国内桥牌资讯中出现“陆亦佳”，并用同届比赛、队伍/搭档和活动时间交叉，拼音与中文姓名可形成较唯一对应。</x:v>
      </x:c>
      <x:c r="F193" s="16" t="str">
        <x:v>2017-08-15—2017-08-24｜第5届世界青年公开锦标赛｜U26 Women Teams / Girls Teams｜SHENGXING TEAM 1
2019-08-20—2019-08-29｜第6届世界青年公开锦标赛｜U26 Women Pairs｜Yijia Lu – Chenyun Ge
2019-08-20—2019-08-29｜第6届世界青年公开锦标赛｜U26 Women Teams｜SXPEONY</x:v>
      </x:c>
      <x:c r="G193" s="16" t="str">
        <x:v>https://sports.sina.cn/others/qipai/2020-07-07/detail-iirczymm1038498.d.html?vt=4</x:v>
      </x:c>
      <x:c r="H193" s="16" t="str">
        <x:v>https://db.worldbridge.org/repository/tourn/lyonyouth.17/microsite/Asp/knockoutphase.asp?qtournid=1460&amp;qphase=FF
https://www.worldbridge.org/2019/08/6th-world-youth-open-championships-the-pairs-winners/
https://www.worldbridge.org/2019/08/6th-world-youth-open-championships-the-teams-and-bam-winners/</x:v>
      </x:c>
      <x:c r="I193" s="16" t="str">
        <x:v>仍可能存在WBF名序、空格或旧库拼写差异；以所列中文资料和赛事上下文为判断基础。</x:v>
      </x:c>
      <x:c r="J193" s="17" t="n">
        <x:v>3</x:v>
      </x:c>
    </x:row>
    <x:row r="194">
      <x:c r="A194" s="36" t="str">
        <x:v>Yijing Cai</x:v>
      </x:c>
      <x:c r="B194" s="61" t="str">
        <x:v>蔡祎婧</x:v>
      </x:c>
      <x:c r="C194" s="61" t="str">
        <x:v>高</x:v>
      </x:c>
      <x:c r="D194" s="36" t="str">
        <x:v>国内中文名单/报道 + WBF阵容交叉</x:v>
      </x:c>
      <x:c r="E194" s="35" t="str">
        <x:v>WBF登记为“Yijing Cai”；国内桥牌资讯中出现“蔡祎婧”，并用同届比赛、队伍/搭档和活动时间交叉，拼音与中文姓名可形成较唯一对应。</x:v>
      </x:c>
      <x:c r="F194" s="35" t="str">
        <x:v>2018-08-08—2018-08-18｜世界青年团体锦标赛｜U26 Women Teams｜CHINA</x:v>
      </x:c>
      <x:c r="G194" s="35" t="str">
        <x:v>https://sports.sina.cn/others/qipai/2020-07-07/detail-iirczymm1038498.d.html?vt=4</x:v>
      </x:c>
      <x:c r="H194" s="35" t="str">
        <x:v>https://www.worldbridge.org/competitions/the-world-youth-team-championships/</x:v>
      </x:c>
      <x:c r="I194" s="35" t="str">
        <x:v>仍可能存在WBF名序、空格或旧库拼写差异；以所列中文资料和赛事上下文为判断基础。</x:v>
      </x:c>
      <x:c r="J194" s="36" t="n">
        <x:v>1</x:v>
      </x:c>
    </x:row>
    <x:row r="195">
      <x:c r="A195" s="17" t="str">
        <x:v>Yijun Shang</x:v>
      </x:c>
      <x:c r="B195" s="61" t="str">
        <x:v>尚一骏</x:v>
      </x:c>
      <x:c r="C195" s="61" t="str">
        <x:v>高</x:v>
      </x:c>
      <x:c r="D195" s="17" t="str">
        <x:v>国内中文名单/报道 + WBF阵容交叉</x:v>
      </x:c>
      <x:c r="E195" s="16" t="str">
        <x:v>WBF登记为“Yijun Shang”；国内桥牌资讯中出现“尚一骏”，并用同届比赛、队伍/搭档和活动时间交叉，拼音与中文姓名可形成较唯一对应。</x:v>
      </x:c>
      <x:c r="F195" s="16" t="str">
        <x:v>2015-08-20—2015-08-29｜第4届世界青年公开锦标赛｜U16 Teams / Kids Teams｜SX HYSW</x:v>
      </x:c>
      <x:c r="G195" s="16" t="str">
        <x:v>https://www.chinanews.com/ty/2015/04-01/7177669.shtml</x:v>
      </x:c>
      <x:c r="H195" s="16" t="str">
        <x:v>https://www.worldbridge.org/competitions/the-world-youth-transnational-bridge-championships/</x:v>
      </x:c>
      <x:c r="I195" s="16" t="str">
        <x:v>仍可能存在WBF名序、空格或旧库拼写差异；以所列中文资料和赛事上下文为判断基础。</x:v>
      </x:c>
      <x:c r="J195" s="17" t="n">
        <x:v>1</x:v>
      </x:c>
    </x:row>
    <x:row r="196">
      <x:c r="A196" s="36" t="str">
        <x:v>Yijun Wu</x:v>
      </x:c>
      <x:c r="B196" s="78" t="str">
        <x:v>吴怡君</x:v>
      </x:c>
      <x:c r="C196" s="78" t="str">
        <x:v>低</x:v>
      </x:c>
      <x:c r="D196" s="36" t="str">
        <x:v>仅拼音最佳猜测</x:v>
      </x:c>
      <x:c r="E196" s="35" t="str">
        <x:v>WBF登记为“Yijun Wu”；按姓名拼音与中国姓名常见用字给出“吴怡君”作为可检索候选。未找到能与同届队伍/搭档闭环的国内中文名单。</x:v>
      </x:c>
      <x:c r="F196" s="35" t="str">
        <x:v>2019-08-20—2019-08-29｜第6届世界青年公开锦标赛｜U16 Teams｜SXSATURN</x:v>
      </x:c>
      <x:c r="G196" s="35" t="str"/>
      <x:c r="H196" s="35" t="str">
        <x:v>https://www.worldbridge.org/2019/08/6th-world-youth-open-championships-the-teams-and-bam-winners/</x:v>
      </x:c>
      <x:c r="I196" s="35" t="str">
        <x:v>姓氏同音（如 Yu=于/余/俞）及名字同音字均可能；不能视为身份确认。</x:v>
      </x:c>
      <x:c r="J196" s="36" t="n">
        <x:v>1</x:v>
      </x:c>
    </x:row>
    <x:row r="197">
      <x:c r="A197" s="17" t="str">
        <x:v>Yiling Shen</x:v>
      </x:c>
      <x:c r="B197" s="78" t="str">
        <x:v>沈逸玲</x:v>
      </x:c>
      <x:c r="C197" s="78" t="str">
        <x:v>低</x:v>
      </x:c>
      <x:c r="D197" s="17" t="str">
        <x:v>仅拼音最佳猜测</x:v>
      </x:c>
      <x:c r="E197" s="16" t="str">
        <x:v>WBF登记为“Yiling Shen”；按姓名拼音与中国姓名常见用字给出“沈逸玲”作为可检索候选。未找到能与同届队伍/搭档闭环的国内中文名单。</x:v>
      </x:c>
      <x:c r="F197" s="16" t="str">
        <x:v>2013｜第3届世界青年公开锦标赛｜U21 Teams / Youngsters Teams｜CHINA XNWY</x:v>
      </x:c>
      <x:c r="G197" s="16" t="str"/>
      <x:c r="H197" s="16" t="str">
        <x:v>https://www.worldbridge.org/competitions/the-world-youth-transnational-bridge-championships/the-u21-teams/</x:v>
      </x:c>
      <x:c r="I197" s="16" t="str">
        <x:v>姓氏同音（如 Yu=于/余/俞）及名字同音字均可能；不能视为身份确认。</x:v>
      </x:c>
      <x:c r="J197" s="17" t="n">
        <x:v>1</x:v>
      </x:c>
    </x:row>
    <x:row r="198">
      <x:c r="A198" s="36" t="str">
        <x:v>Yinghao Liu</x:v>
      </x:c>
      <x:c r="B198" s="61" t="str">
        <x:v>刘英皓</x:v>
      </x:c>
      <x:c r="C198" s="61" t="str">
        <x:v>高</x:v>
      </x:c>
      <x:c r="D198" s="36" t="str">
        <x:v>国内中文名单/报道 + WBF阵容交叉</x:v>
      </x:c>
      <x:c r="E198" s="35" t="str">
        <x:v>WBF登记为“Yinghao Liu”；国内桥牌资讯中出现“刘英皓”，并用同届比赛、队伍/搭档和活动时间交叉，拼音与中文姓名可形成较唯一对应。</x:v>
      </x:c>
      <x:c r="F198" s="35" t="str">
        <x:v>2008-10-03—2008-10-18｜第1届世界智力运动会 / 世界桥牌运动会｜U28 Teams 青年团体｜CHINA
2010-10｜世界青年团体锦标赛｜U26 Teams｜CHINA
2024-10-22—2024-11-03｜第16届世界桥牌运动会｜Mixed Teams 混合团体｜CHINA
2025-08-20—2025-08-31｜第47届世界桥牌团体锦标赛｜Wuhan Cup 混合团体｜CHINA</x:v>
      </x:c>
      <x:c r="G198" s="35" t="str">
        <x:v>https://news.qq.com/rain/a/20250828A04GG700</x:v>
      </x:c>
      <x:c r="H198" s="35" t="str">
        <x:v>https://db.worldbridge.org/repository/tourn/Beijing.08/Beijing.htm
https://db.worldbridge.org/repository/tourn/Beijing.08/Asp/knockoutphase.asp?qtournid=708&amp;qphase=PO
https://db.worldbridge.org/repository/tourn/Beijing.08/ASP/participantsDetail.asp?qteamid=5535
https://www.worldbridge.org/competitions/the-world-youth-team-championships/
https://www.worldbridge.org/2024/11/world-bridge-games-2024-the-winners/
https://www.worldbridge.org/2025/08/congratulations-to-the-champions/</x:v>
      </x:c>
      <x:c r="I198" s="35" t="str">
        <x:v>仍可能存在WBF名序、空格或旧库拼写差异；以所列中文资料和赛事上下文为判断基础。</x:v>
      </x:c>
      <x:c r="J198" s="36" t="n">
        <x:v>4</x:v>
      </x:c>
    </x:row>
    <x:row r="199">
      <x:c r="A199" s="17" t="str">
        <x:v>Yingqi Wang</x:v>
      </x:c>
      <x:c r="B199" s="61" t="str">
        <x:v>王膺旗</x:v>
      </x:c>
      <x:c r="C199" s="61" t="str">
        <x:v>高</x:v>
      </x:c>
      <x:c r="D199" s="17" t="str">
        <x:v>国内中文名单/报道 + WBF阵容交叉</x:v>
      </x:c>
      <x:c r="E199" s="16" t="str">
        <x:v>WBF登记为“Yingqi Wang”；国内桥牌资讯中出现“王膺旗”，并用同届比赛、队伍/搭档和活动时间交叉，拼音与中文姓名可形成较唯一对应。</x:v>
      </x:c>
      <x:c r="F199" s="16" t="str">
        <x:v>2015-08-20—2015-08-29｜第4届世界青年公开锦标赛｜U16 Teams / Kids Teams｜SX HYSW
2017-08-15—2017-08-24｜第5届世界青年公开锦标赛｜U16 BAM｜SHENGXING SATURN
2017-08-15—2017-08-24｜第5届世界青年公开锦标赛｜U16 Teams / Kids Teams｜SHENGXING SATURN
2019-08-20—2019-08-29｜第6届世界青年公开锦标赛｜Youth BAM｜SXNEBULA</x:v>
      </x:c>
      <x:c r="G199" s="16" t="str">
        <x:v>https://www.chinanews.com/ty/2015/04-01/7177669.shtml</x:v>
      </x:c>
      <x:c r="H199" s="16" t="str">
        <x:v>https://www.worldbridge.org/competitions/the-world-youth-transnational-bridge-championships/
https://www.worldbridge.org/2019/08/6th-world-youth-open-championships-the-teams-and-bam-winners/</x:v>
      </x:c>
      <x:c r="I199" s="16" t="str">
        <x:v>仍可能存在WBF名序、空格或旧库拼写差异；以所列中文资料和赛事上下文为判断基础。</x:v>
      </x:c>
      <x:c r="J199" s="17" t="n">
        <x:v>4</x:v>
      </x:c>
    </x:row>
    <x:row r="200">
      <x:c r="A200" s="36" t="str">
        <x:v>Yinpei Shao</x:v>
      </x:c>
      <x:c r="B200" s="78" t="str">
        <x:v>邵寅培</x:v>
      </x:c>
      <x:c r="C200" s="78" t="str">
        <x:v>低</x:v>
      </x:c>
      <x:c r="D200" s="36" t="str">
        <x:v>仅拼音最佳猜测</x:v>
      </x:c>
      <x:c r="E200" s="35" t="str">
        <x:v>WBF登记为“Yinpei Shao”；按姓名拼音与中国姓名常见用字给出“邵寅培”作为可检索候选。未找到能与同届队伍/搭档闭环的国内中文名单。</x:v>
      </x:c>
      <x:c r="F200" s="35" t="str">
        <x:v>2010-10｜世界青年团体锦标赛｜U26 Teams｜CHINA
2012-07-25—2012-08-04｜世界青年团体锦标赛｜U26 Teams｜CHINA</x:v>
      </x:c>
      <x:c r="G200" s="35" t="str"/>
      <x:c r="H200" s="35" t="str">
        <x:v>https://www.worldbridge.org/competitions/the-world-youth-team-championships/</x:v>
      </x:c>
      <x:c r="I200" s="35" t="str">
        <x:v>姓氏同音（如 Yu=于/余/俞）及名字同音字均可能；不能视为身份确认。</x:v>
      </x:c>
      <x:c r="J200" s="36" t="n">
        <x:v>2</x:v>
      </x:c>
    </x:row>
    <x:row r="201">
      <x:c r="A201" s="17" t="str">
        <x:v>Yiping Lu</x:v>
      </x:c>
      <x:c r="B201" s="61" t="str">
        <x:v>陆易平</x:v>
      </x:c>
      <x:c r="C201" s="61" t="str">
        <x:v>高</x:v>
      </x:c>
      <x:c r="D201" s="17" t="str">
        <x:v>国内中文名单/报道 + WBF阵容交叉</x:v>
      </x:c>
      <x:c r="E201" s="16" t="str">
        <x:v>WBF登记为“Yiping Lu”；国内桥牌资讯中出现“陆易平”，并用同届比赛、队伍/搭档和活动时间交叉，拼音与中文姓名可形成较唯一对应。</x:v>
      </x:c>
      <x:c r="F201" s="16" t="str">
        <x:v>2018-08-08—2018-08-18｜世界青年团体锦标赛｜U16 Teams｜CHINA3</x:v>
      </x:c>
      <x:c r="G201" s="16" t="str">
        <x:v>https://sports.sina.cn/others/qipai/2020-07-07/detail-iirczymm1038498.d.html?vt=4</x:v>
      </x:c>
      <x:c r="H201" s="16" t="str">
        <x:v>https://www.worldbridge.org/competitions/the-world-youth-team-championships/</x:v>
      </x:c>
      <x:c r="I201" s="16" t="str">
        <x:v>仍可能存在WBF名序、空格或旧库拼写差异；以所列中文资料和赛事上下文为判断基础。</x:v>
      </x:c>
      <x:c r="J201" s="17" t="n">
        <x:v>1</x:v>
      </x:c>
    </x:row>
    <x:row r="202">
      <x:c r="A202" s="36" t="str">
        <x:v>Yiqin Shao</x:v>
      </x:c>
      <x:c r="B202" s="61" t="str">
        <x:v>邵易勤</x:v>
      </x:c>
      <x:c r="C202" s="61" t="str">
        <x:v>高</x:v>
      </x:c>
      <x:c r="D202" s="36" t="str">
        <x:v>国内中文名单/报道 + WBF阵容交叉</x:v>
      </x:c>
      <x:c r="E202" s="35" t="str">
        <x:v>WBF登记为“Yiqin Shao”；国内桥牌资讯中出现“邵易勤”，并用同届比赛、队伍/搭档和活动时间交叉，拼音与中文姓名可形成较唯一对应。</x:v>
      </x:c>
      <x:c r="F202" s="35" t="str">
        <x:v>2015-08-20—2015-08-29｜第4届世界青年公开锦标赛｜U16 Teams / Kids Teams｜SX HYSW</x:v>
      </x:c>
      <x:c r="G202" s="35" t="str">
        <x:v>https://www.chinanews.com/ty/2015/04-01/7177669.shtml</x:v>
      </x:c>
      <x:c r="H202" s="35" t="str">
        <x:v>https://www.worldbridge.org/competitions/the-world-youth-transnational-bridge-championships/</x:v>
      </x:c>
      <x:c r="I202" s="35" t="str">
        <x:v>仍可能存在WBF名序、空格或旧库拼写差异；以所列中文资料和赛事上下文为判断基础。</x:v>
      </x:c>
      <x:c r="J202" s="36" t="n">
        <x:v>1</x:v>
      </x:c>
    </x:row>
    <x:row r="203">
      <x:c r="A203" s="17" t="str">
        <x:v>Yixuan Jiang</x:v>
      </x:c>
      <x:c r="B203" s="78" t="str">
        <x:v>蒋奕萱</x:v>
      </x:c>
      <x:c r="C203" s="78" t="str">
        <x:v>低</x:v>
      </x:c>
      <x:c r="D203" s="17" t="str">
        <x:v>仅拼音最佳猜测</x:v>
      </x:c>
      <x:c r="E203" s="16" t="str">
        <x:v>WBF登记为“Yixuan Jiang”；按姓名拼音与中国姓名常见用字给出“蒋奕萱”作为可检索候选。未找到能与同届队伍/搭档闭环的国内中文名单。</x:v>
      </x:c>
      <x:c r="F203" s="16" t="str">
        <x:v>2025-07-12—2025-07-17｜第19届世界青年团体锦标赛｜U26 Women Teams｜CHINA</x:v>
      </x:c>
      <x:c r="G203" s="16" t="str"/>
      <x:c r="H203" s="16" t="str">
        <x:v>https://www.worldbridge.org/2025/07/19th-world-youth-team-championships-the-winners/</x:v>
      </x:c>
      <x:c r="I203" s="16" t="str">
        <x:v>姓氏同音（如 Yu=于/余/俞）及名字同音字均可能；不能视为身份确认。</x:v>
      </x:c>
      <x:c r="J203" s="17" t="n">
        <x:v>1</x:v>
      </x:c>
    </x:row>
    <x:row r="204">
      <x:c r="A204" s="36" t="str">
        <x:v>Yixuan Liu</x:v>
      </x:c>
      <x:c r="B204" s="78" t="str">
        <x:v>刘奕萱</x:v>
      </x:c>
      <x:c r="C204" s="78" t="str">
        <x:v>低</x:v>
      </x:c>
      <x:c r="D204" s="36" t="str">
        <x:v>仅拼音最佳猜测</x:v>
      </x:c>
      <x:c r="E204" s="35" t="str">
        <x:v>WBF登记为“Yixuan Liu”；按姓名拼音与中国姓名常见用字给出“刘奕萱”作为可检索候选。未找到能与同届队伍/搭档闭环的国内中文名单。</x:v>
      </x:c>
      <x:c r="F204" s="35" t="str">
        <x:v>2026-08-03—2026-08-08｜第9届世界青年跨国锦标赛｜U26 Women Teams｜SHANDONG YANTAI</x:v>
      </x:c>
      <x:c r="G204" s="35" t="str"/>
      <x:c r="H204" s="35" t="str">
        <x:v>https://db.worldbridge.org/Repository/tourn/hefei.26/microsite/results.htm</x:v>
      </x:c>
      <x:c r="I204" s="35" t="str">
        <x:v>姓氏同音（如 Yu=于/余/俞）及名字同音字均可能；不能视为身份确认。</x:v>
      </x:c>
      <x:c r="J204" s="36" t="n">
        <x:v>1</x:v>
      </x:c>
    </x:row>
    <x:row r="205">
      <x:c r="A205" s="17" t="str">
        <x:v>Yizheng Ge</x:v>
      </x:c>
      <x:c r="B205" s="78" t="str">
        <x:v>葛奕铮</x:v>
      </x:c>
      <x:c r="C205" s="78" t="str">
        <x:v>低</x:v>
      </x:c>
      <x:c r="D205" s="17" t="str">
        <x:v>仅拼音最佳猜测</x:v>
      </x:c>
      <x:c r="E205" s="16" t="str">
        <x:v>WBF登记为“Yizheng Ge”；按姓名拼音与中国姓名常见用字给出“葛奕铮”作为可检索候选。未找到能与同届队伍/搭档闭环的国内中文名单。</x:v>
      </x:c>
      <x:c r="F205" s="16" t="str">
        <x:v>2026-08-03—2026-08-08｜第9届世界青年跨国锦标赛｜U21 Teams｜CHINA RDFZ BAXI</x:v>
      </x:c>
      <x:c r="G205" s="16" t="str"/>
      <x:c r="H205" s="16" t="str">
        <x:v>https://db.worldbridge.org/Repository/tourn/hefei.26/microsite/results.htm</x:v>
      </x:c>
      <x:c r="I205" s="16" t="str">
        <x:v>姓氏同音（如 Yu=于/余/俞）及名字同音字均可能；不能视为身份确认。</x:v>
      </x:c>
      <x:c r="J205" s="17" t="n">
        <x:v>1</x:v>
      </x:c>
    </x:row>
    <x:row r="206">
      <x:c r="A206" s="36" t="str">
        <x:v>Yizhou Liu</x:v>
      </x:c>
      <x:c r="B206" s="61" t="str">
        <x:v>刘易洲</x:v>
      </x:c>
      <x:c r="C206" s="61" t="str">
        <x:v>高</x:v>
      </x:c>
      <x:c r="D206" s="36" t="str">
        <x:v>国内中文名单/报道 + WBF阵容交叉</x:v>
      </x:c>
      <x:c r="E206" s="35" t="str">
        <x:v>WBF登记为“Yizhou Liu”；国内桥牌资讯中出现“刘易洲”，并用同届比赛、队伍/搭档和活动时间交叉，拼音与中文姓名可形成较唯一对应。</x:v>
      </x:c>
      <x:c r="F206" s="35" t="str">
        <x:v>2016-08-03—2016-08-13｜世界青年团体锦标赛｜U16 Teams｜CHINA2
2017-08-15—2017-08-24｜第5届世界青年公开锦标赛｜U16 BAM｜SHENGXING VENUS
2017-08-15—2017-08-24｜第5届世界青年公开锦标赛｜U16 Pairs / Kids Pairs｜Yizhou Liu – Mingyu Lu
2017-08-15—2017-08-24｜第5届世界青年公开锦标赛｜U16 Teams / Kids Teams｜SHENGXING VENUS</x:v>
      </x:c>
      <x:c r="G206" s="35" t="str">
        <x:v>https://sports.sina.cn/others/qipai/2020-07-07/detail-iirczymm1038498.d.html?vt=4</x:v>
      </x:c>
      <x:c r="H206" s="35" t="str">
        <x:v>https://www.worldbridge.org/competitions/the-world-youth-team-championships/
https://www.worldbridge.org/competitions/the-world-youth-transnational-bridge-championships/
https://db.worldbridge.org/repository/tourn/lyonyouth.17/microsite/Asp/TotalPairs.asp?qtournid=1457&amp;qroundno=3&amp;qgroupno=1</x:v>
      </x:c>
      <x:c r="I206" s="35" t="str">
        <x:v>仍可能存在WBF名序、空格或旧库拼写差异；以所列中文资料和赛事上下文为判断基础。</x:v>
      </x:c>
      <x:c r="J206" s="36" t="n">
        <x:v>4</x:v>
      </x:c>
    </x:row>
    <x:row r="207">
      <x:c r="A207" s="17" t="str">
        <x:v>Yizhuo Zhang</x:v>
      </x:c>
      <x:c r="B207" s="78" t="str">
        <x:v>张一卓</x:v>
      </x:c>
      <x:c r="C207" s="78" t="str">
        <x:v>低</x:v>
      </x:c>
      <x:c r="D207" s="17" t="str">
        <x:v>仅拼音最佳猜测</x:v>
      </x:c>
      <x:c r="E207" s="16" t="str">
        <x:v>WBF登记为“Yizhuo Zhang”；按姓名拼音与中国姓名常见用字给出“张一卓”作为可检索候选。未找到能与同届队伍/搭档闭环的国内中文名单。</x:v>
      </x:c>
      <x:c r="F207" s="16" t="str">
        <x:v>2008-10-03—2008-10-18｜第1届世界智力运动会 / 世界桥牌运动会｜U28 Teams 青年团体｜CHINA</x:v>
      </x:c>
      <x:c r="G207" s="16" t="str"/>
      <x:c r="H207" s="16" t="str">
        <x:v>https://db.worldbridge.org/repository/tourn/Beijing.08/Beijing.htm
https://db.worldbridge.org/repository/tourn/Beijing.08/Asp/knockoutphase.asp?qtournid=708&amp;qphase=PO
https://db.worldbridge.org/repository/tourn/Beijing.08/ASP/participantsDetail.asp?qteamid=5535</x:v>
      </x:c>
      <x:c r="I207" s="16" t="str">
        <x:v>姓氏同音（如 Yu=于/余/俞）及名字同音字均可能；不能视为身份确认。</x:v>
      </x:c>
      <x:c r="J207" s="17" t="n">
        <x:v>1</x:v>
      </x:c>
    </x:row>
    <x:row r="208">
      <x:c r="A208" s="36" t="str">
        <x:v>Yong Chen</x:v>
      </x:c>
      <x:c r="B208" s="61" t="str">
        <x:v>陈勇</x:v>
      </x:c>
      <x:c r="C208" s="61" t="str">
        <x:v>高</x:v>
      </x:c>
      <x:c r="D208" s="36" t="str">
        <x:v>国内中文名单/报道 + WBF阵容交叉</x:v>
      </x:c>
      <x:c r="E208" s="35" t="str">
        <x:v>WBF登记为“Yong Chen”；国内桥牌资讯中出现“陈勇”，并用同届比赛、队伍/搭档和活动时间交叉，拼音与中文姓名可形成较唯一对应。</x:v>
      </x:c>
      <x:c r="F208" s="35" t="str">
        <x:v>2019-09｜世界桥牌团体锦标赛｜Transnational Open Teams 跨国公开团体｜CHINA</x:v>
      </x:c>
      <x:c r="G208" s="35" t="str">
        <x:v>https://sports.sina.cn/others/qipai/2020-07-07/detail-iirczymm1038498.d.html?vt=4</x:v>
      </x:c>
      <x:c r="H208" s="35" t="str">
        <x:v>https://www.wbfmasterpoints.com/Medalsreport.asp</x:v>
      </x:c>
      <x:c r="I208" s="35" t="str">
        <x:v>仍可能存在WBF名序、空格或旧库拼写差异；以所列中文资料和赛事上下文为判断基础。</x:v>
      </x:c>
      <x:c r="J208" s="36" t="n">
        <x:v>1</x:v>
      </x:c>
    </x:row>
    <x:row r="209">
      <x:c r="A209" s="17" t="str">
        <x:v>Yong Lian</x:v>
      </x:c>
      <x:c r="B209" s="61" t="str">
        <x:v>连勇</x:v>
      </x:c>
      <x:c r="C209" s="61" t="str">
        <x:v>高</x:v>
      </x:c>
      <x:c r="D209" s="17" t="str">
        <x:v>国内中文名单/报道 + WBF阵容交叉</x:v>
      </x:c>
      <x:c r="E209" s="16" t="str">
        <x:v>WBF登记为“Yong Lian”；国内桥牌资讯中出现“连勇”，并用同届比赛、队伍/搭档和活动时间交叉，拼音与中文姓名可形成较唯一对应。</x:v>
      </x:c>
      <x:c r="F209" s="16" t="str">
        <x:v>2019-09｜世界桥牌团体锦标赛｜Transnational Open Teams 跨国公开团体｜CHINA</x:v>
      </x:c>
      <x:c r="G209" s="16" t="str">
        <x:v>https://sports.sina.cn/others/qipai/2020-07-07/detail-iirczymm1038498.d.html?vt=4</x:v>
      </x:c>
      <x:c r="H209" s="16" t="str">
        <x:v>https://www.wbfmasterpoints.com/Medalsreport.asp</x:v>
      </x:c>
      <x:c r="I209" s="16" t="str">
        <x:v>仍可能存在WBF名序、空格或旧库拼写差异；以所列中文资料和赛事上下文为判断基础。</x:v>
      </x:c>
      <x:c r="J209" s="17" t="n">
        <x:v>1</x:v>
      </x:c>
    </x:row>
    <x:row r="210">
      <x:c r="A210" s="36" t="str">
        <x:v>Yong Mei Zhou</x:v>
      </x:c>
      <x:c r="B210" s="67" t="str">
        <x:v>周咏梅</x:v>
      </x:c>
      <x:c r="C210" s="67" t="str">
        <x:v>中</x:v>
      </x:c>
      <x:c r="D210" s="36" t="str">
        <x:v>赛事时间、队伍/搭档与拼音交叉</x:v>
      </x:c>
      <x:c r="E210" s="35" t="str">
        <x:v>WBF登记为“Yong Mei Zhou”；结合所列赛事年代、年龄组、队伍/搭档与国内常见写法，最佳候选为“周咏梅”。尚缺一份能同时列出英文拼音与中文全名的直接名单。</x:v>
      </x:c>
      <x:c r="F210" s="35" t="str">
        <x:v>2014-10｜世界桥牌综合锦标赛｜Mixed Teams 混合团体｜CHINA</x:v>
      </x:c>
      <x:c r="G210" s="35" t="str"/>
      <x:c r="H210" s="35" t="str">
        <x:v>https://www.wbfmasterpoints.com/Medalsreport.asp</x:v>
      </x:c>
      <x:c r="I210" s="35" t="str">
        <x:v>汉字可能有同音替代，故标为中确定度；国内资料栏不填，避免把间接报道当成直接证据。</x:v>
      </x:c>
      <x:c r="J210" s="36" t="n">
        <x:v>1</x:v>
      </x:c>
    </x:row>
    <x:row r="211">
      <x:c r="A211" s="17" t="str">
        <x:v>Yong Tao</x:v>
      </x:c>
      <x:c r="B211" s="61" t="str">
        <x:v>陶涌</x:v>
      </x:c>
      <x:c r="C211" s="61" t="str">
        <x:v>高</x:v>
      </x:c>
      <x:c r="D211" s="17" t="str">
        <x:v>国内中文名单/报道 + WBF阵容交叉</x:v>
      </x:c>
      <x:c r="E211" s="16" t="str">
        <x:v>WBF登记为“Yong Tao”；国内桥牌资讯中出现“陶涌”，并用同届比赛、队伍/搭档和活动时间交叉，拼音与中文姓名可形成较唯一对应。</x:v>
      </x:c>
      <x:c r="F211" s="16" t="str">
        <x:v>2016-08-03—2016-08-13｜世界青年团体锦标赛｜U26 Teams｜CHINA</x:v>
      </x:c>
      <x:c r="G211" s="16" t="str">
        <x:v>https://sports.sina.cn/others/qipai/2020-07-07/detail-iirczymm1038498.d.html?vt=4</x:v>
      </x:c>
      <x:c r="H211" s="16" t="str">
        <x:v>https://www.worldbridge.org/competitions/the-world-youth-team-championships/</x:v>
      </x:c>
      <x:c r="I211" s="16" t="str">
        <x:v>仍可能存在WBF名序、空格或旧库拼写差异；以所列中文资料和赛事上下文为判断基础。</x:v>
      </x:c>
      <x:c r="J211" s="17" t="n">
        <x:v>1</x:v>
      </x:c>
    </x:row>
    <x:row r="212">
      <x:c r="A212" s="36" t="str">
        <x:v>Yongling Dong</x:v>
      </x:c>
      <x:c r="B212" s="61" t="str">
        <x:v>董永灵</x:v>
      </x:c>
      <x:c r="C212" s="61" t="str">
        <x:v>高</x:v>
      </x:c>
      <x:c r="D212" s="36" t="str">
        <x:v>国内中文名单/报道 + WBF阵容交叉</x:v>
      </x:c>
      <x:c r="E212" s="35" t="str">
        <x:v>WBF登记为“Yongling Dong”；国内桥牌资讯中出现“董永灵”，并用同届比赛、队伍/搭档和活动时间交叉，拼音与中文姓名可形成较唯一对应。</x:v>
      </x:c>
      <x:c r="F212" s="35" t="str">
        <x:v>2009-08-29—2009-09-12｜世界桥牌团体锦标赛｜Venice Cup 女子团体｜CHINA LONG ZHU</x:v>
      </x:c>
      <x:c r="G212" s="35" t="str">
        <x:v>https://sports.sina.cn/others/qipai/2020-07-07/detail-iirczymm1038498.d.html?vt=4</x:v>
      </x:c>
      <x:c r="H212" s="35" t="str">
        <x:v>https://db.worldbridge.org/Repository/tourn/SaoPaulo.09/SaoPaulo.htm</x:v>
      </x:c>
      <x:c r="I212" s="35" t="str">
        <x:v>仍可能存在WBF名序、空格或旧库拼写差异；以所列中文资料和赛事上下文为判断基础。</x:v>
      </x:c>
      <x:c r="J212" s="36" t="n">
        <x:v>1</x:v>
      </x:c>
    </x:row>
    <x:row r="213">
      <x:c r="A213" s="17" t="str">
        <x:v>Yu Yun</x:v>
      </x:c>
      <x:c r="B213" s="78" t="str">
        <x:v>云宇</x:v>
      </x:c>
      <x:c r="C213" s="78" t="str">
        <x:v>低</x:v>
      </x:c>
      <x:c r="D213" s="17" t="str">
        <x:v>仅拼音最佳猜测</x:v>
      </x:c>
      <x:c r="E213" s="16" t="str">
        <x:v>WBF登记为“Yu Yun”；按姓名拼音与中国姓名常见用字给出“云宇”作为可检索候选。未找到能与同届队伍/搭档闭环的国内中文名单。</x:v>
      </x:c>
      <x:c r="F213" s="16" t="str">
        <x:v>2017-08-15—2017-08-24｜第5届世界青年公开锦标赛｜U21 Teams / Youngsters Teams｜SHENGXING TEAM</x:v>
      </x:c>
      <x:c r="G213" s="16" t="str"/>
      <x:c r="H213" s="16" t="str">
        <x:v>https://db.worldbridge.org/repository/tourn/lyonyouth.17/microsite/results.htm</x:v>
      </x:c>
      <x:c r="I213" s="16" t="str">
        <x:v>姓氏同音（如 Yu=于/余/俞）及名字同音字均可能；不能视为身份确认。</x:v>
      </x:c>
      <x:c r="J213" s="17" t="n">
        <x:v>1</x:v>
      </x:c>
    </x:row>
    <x:row r="214">
      <x:c r="A214" s="36" t="str">
        <x:v>Yu Zhang</x:v>
      </x:c>
      <x:c r="B214" s="61" t="str">
        <x:v>章瑜</x:v>
      </x:c>
      <x:c r="C214" s="61" t="str">
        <x:v>高</x:v>
      </x:c>
      <x:c r="D214" s="36" t="str">
        <x:v>国内中文名单/报道 + WBF阵容交叉</x:v>
      </x:c>
      <x:c r="E214" s="35" t="str">
        <x:v>WBF登记为“Yu Zhang”；国内桥牌资讯中出现“章瑜”，并用同届比赛、队伍/搭档和活动时间交叉，拼音与中文姓名可形成较唯一对应。</x:v>
      </x:c>
      <x:c r="F214" s="35" t="str">
        <x:v>1996｜世界桥牌团体奥林匹克赛｜女子团体｜CHINA
1997｜世界桥牌团体锦标赛｜Venice Cup 女子团体｜CHINA
2003｜世界桥牌团体锦标赛｜Venice Cup 女子团体｜CHINA
2014-10｜世界桥牌综合锦标赛｜Mixed Teams 混合团体｜CHINA
另有2条，见个人奖牌榜明细</x:v>
      </x:c>
      <x:c r="G214" s="35" t="str">
        <x:v>https://www.ourgame.com/arranghtml/news7.html</x:v>
      </x:c>
      <x:c r="H214" s="35" t="str">
        <x:v>https://www.wbfmasterpoints.com/Medalsreport.asp</x:v>
      </x:c>
      <x:c r="I214" s="35" t="str">
        <x:v>仍可能存在WBF名序、空格或旧库拼写差异；以所列中文资料和赛事上下文为判断基础。</x:v>
      </x:c>
      <x:c r="J214" s="36" t="n">
        <x:v>6</x:v>
      </x:c>
    </x:row>
    <x:row r="215">
      <x:c r="A215" s="17" t="str">
        <x:v>Yuantao Zheng</x:v>
      </x:c>
      <x:c r="B215" s="61" t="str">
        <x:v>郑源滔</x:v>
      </x:c>
      <x:c r="C215" s="61" t="str">
        <x:v>高</x:v>
      </x:c>
      <x:c r="D215" s="17" t="str">
        <x:v>国内中文名单/报道 + WBF阵容交叉</x:v>
      </x:c>
      <x:c r="E215" s="16" t="str">
        <x:v>WBF登记为“Yuantao Zheng”；国内桥牌资讯中出现“郑源滔”，并用同届比赛、队伍/搭档和活动时间交叉，拼音与中文姓名可形成较唯一对应。</x:v>
      </x:c>
      <x:c r="F215" s="16" t="str">
        <x:v>2026-08-03—2026-08-08｜第9届世界青年跨国锦标赛｜U26 Pairs｜Chongshang Huang – Yuantao Zheng</x:v>
      </x:c>
      <x:c r="G215" s="16" t="str">
        <x:v>https://www.xxbridge.com/M.aspx?m=1913&amp;n=6&amp;r=50&amp;t=2</x:v>
      </x:c>
      <x:c r="H215" s="16" t="str">
        <x:v>https://db.worldbridge.org/Repository/tourn/hefei.26/microsite/Asp/TotalPairs.asp?qtournid=2665&amp;qgroupno=1&amp;qroundno=3</x:v>
      </x:c>
      <x:c r="I215" s="16" t="str">
        <x:v>仍可能存在WBF名序、空格或旧库拼写差异；以所列中文资料和赛事上下文为判断基础。</x:v>
      </x:c>
      <x:c r="J215" s="17" t="n">
        <x:v>1</x:v>
      </x:c>
    </x:row>
    <x:row r="216">
      <x:c r="A216" s="36" t="str">
        <x:v>Yuanzhe Ding</x:v>
      </x:c>
      <x:c r="B216" s="67" t="str">
        <x:v>丁元喆</x:v>
      </x:c>
      <x:c r="C216" s="67" t="str">
        <x:v>中</x:v>
      </x:c>
      <x:c r="D216" s="36" t="str">
        <x:v>赛事时间、队伍/搭档与拼音交叉</x:v>
      </x:c>
      <x:c r="E216" s="35" t="str">
        <x:v>WBF登记为“Yuanzhe Ding”；结合所列赛事年代、年龄组、队伍/搭档与国内常见写法，最佳候选为“丁元喆”。尚缺一份能同时列出英文拼音与中文全名的直接名单。</x:v>
      </x:c>
      <x:c r="F216" s="35" t="str">
        <x:v>2015-08-20—2015-08-29｜第4届世界青年公开锦标赛｜U16 Teams / Kids Teams｜CHINA RDFZ1</x:v>
      </x:c>
      <x:c r="G216" s="35" t="str"/>
      <x:c r="H216" s="35" t="str">
        <x:v>https://www.worldbridge.org/competitions/the-world-youth-transnational-bridge-championships/</x:v>
      </x:c>
      <x:c r="I216" s="35" t="str">
        <x:v>汉字可能有同音替代，故标为中确定度；国内资料栏不填，避免把间接报道当成直接证据。</x:v>
      </x:c>
      <x:c r="J216" s="36" t="n">
        <x:v>1</x:v>
      </x:c>
    </x:row>
    <x:row r="217">
      <x:c r="A217" s="17" t="str">
        <x:v>Yuanzhe Niu</x:v>
      </x:c>
      <x:c r="B217" s="61" t="str">
        <x:v>牛元喆</x:v>
      </x:c>
      <x:c r="C217" s="61" t="str">
        <x:v>高</x:v>
      </x:c>
      <x:c r="D217" s="17" t="str">
        <x:v>国内中文名单/报道 + WBF阵容交叉</x:v>
      </x:c>
      <x:c r="E217" s="16" t="str">
        <x:v>WBF登记为“Yuanzhe Niu”；国内桥牌资讯中出现“牛元喆”，并用同届比赛、队伍/搭档和活动时间交叉，拼音与中文姓名可形成较唯一对应。</x:v>
      </x:c>
      <x:c r="F217" s="16" t="str">
        <x:v>2017-08-15—2017-08-24｜第5届世界青年公开锦标赛｜U16 Teams / Kids Teams｜CHINA RDFZ GALAXY</x:v>
      </x:c>
      <x:c r="G217" s="16" t="str">
        <x:v>https://sports.sina.cn/others/qipai/2020-07-07/detail-iirczymm1038498.d.html?vt=4</x:v>
      </x:c>
      <x:c r="H217" s="16" t="str">
        <x:v>https://www.worldbridge.org/competitions/the-world-youth-transnational-bridge-championships/</x:v>
      </x:c>
      <x:c r="I217" s="16" t="str">
        <x:v>仍可能存在WBF名序、空格或旧库拼写差异；以所列中文资料和赛事上下文为判断基础。</x:v>
      </x:c>
      <x:c r="J217" s="17" t="n">
        <x:v>1</x:v>
      </x:c>
    </x:row>
    <x:row r="218">
      <x:c r="A218" s="36" t="str">
        <x:v>Yuchen Ye</x:v>
      </x:c>
      <x:c r="B218" s="78" t="str">
        <x:v>叶宇辰</x:v>
      </x:c>
      <x:c r="C218" s="78" t="str">
        <x:v>低</x:v>
      </x:c>
      <x:c r="D218" s="36" t="str">
        <x:v>仅拼音最佳猜测</x:v>
      </x:c>
      <x:c r="E218" s="35" t="str">
        <x:v>WBF登记为“Yuchen Ye”；按姓名拼音与中国姓名常见用字给出“叶宇辰”作为可检索候选。未找到能与同届队伍/搭档闭环的国内中文名单。</x:v>
      </x:c>
      <x:c r="F218" s="35" t="str">
        <x:v>2026-08-03—2026-08-08｜第9届世界青年跨国锦标赛｜U16 Teams｜SHANGHAI NTBC TANK</x:v>
      </x:c>
      <x:c r="G218" s="35" t="str"/>
      <x:c r="H218" s="35" t="str">
        <x:v>https://db.worldbridge.org/Repository/tourn/hefei.26/microsite/results.htm</x:v>
      </x:c>
      <x:c r="I218" s="35" t="str">
        <x:v>姓氏同音（如 Yu=于/余/俞）及名字同音字均可能；不能视为身份确认。</x:v>
      </x:c>
      <x:c r="J218" s="36" t="n">
        <x:v>1</x:v>
      </x:c>
    </x:row>
    <x:row r="219">
      <x:c r="A219" s="17" t="str">
        <x:v>Yue Yu</x:v>
      </x:c>
      <x:c r="B219" s="78" t="str">
        <x:v>余悦</x:v>
      </x:c>
      <x:c r="C219" s="78" t="str">
        <x:v>低</x:v>
      </x:c>
      <x:c r="D219" s="17" t="str">
        <x:v>仅拼音最佳猜测</x:v>
      </x:c>
      <x:c r="E219" s="16" t="str">
        <x:v>WBF登记为“Yue Yu”；按姓名拼音与中国姓名常见用字给出“余悦”作为可检索候选。未找到能与同届队伍/搭档闭环的国内中文名单。</x:v>
      </x:c>
      <x:c r="F219" s="16" t="str">
        <x:v>2015-08-20—2015-08-29｜第4届世界青年公开锦标赛｜U26 Women Teams / Girls Teams｜SX XHLD</x:v>
      </x:c>
      <x:c r="G219" s="16" t="str"/>
      <x:c r="H219" s="16" t="str">
        <x:v>https://db.worldbridge.org/Repository/tourn/Opatija.15/Microsite/Results.htm</x:v>
      </x:c>
      <x:c r="I219" s="16" t="str">
        <x:v>姓氏同音（如 Yu=于/余/俞）及名字同音字均可能；不能视为身份确认。</x:v>
      </x:c>
      <x:c r="J219" s="17" t="n">
        <x:v>1</x:v>
      </x:c>
    </x:row>
    <x:row r="220">
      <x:c r="A220" s="36" t="str">
        <x:v>Yuegang Kuang</x:v>
      </x:c>
      <x:c r="B220" s="61" t="str">
        <x:v>旷跃纲</x:v>
      </x:c>
      <x:c r="C220" s="61" t="str">
        <x:v>高</x:v>
      </x:c>
      <x:c r="D220" s="36" t="str">
        <x:v>国内中文名单/报道 + WBF阵容交叉</x:v>
      </x:c>
      <x:c r="E220" s="35" t="str">
        <x:v>WBF登记为“Yuegang Kuang”；国内桥牌资讯中出现“旷跃纲”，并用同届比赛、队伍/搭档和活动时间交叉，拼音与中文姓名可形成较唯一对应。</x:v>
      </x:c>
      <x:c r="F220" s="35" t="str">
        <x:v>2024-10-22—2024-11-03｜第16届世界桥牌运动会｜Mixed Teams 混合团体｜CHINA</x:v>
      </x:c>
      <x:c r="G220" s="35" t="str">
        <x:v>https://finance.sina.com.cn/jjxw/2024-10-21/doc-incthnhe8757232.shtml</x:v>
      </x:c>
      <x:c r="H220" s="35" t="str">
        <x:v>https://www.worldbridge.org/2024/11/world-bridge-games-2024-the-winners/</x:v>
      </x:c>
      <x:c r="I220" s="35" t="str">
        <x:v>仍可能存在WBF名序、空格或旧库拼写差异；以所列中文资料和赛事上下文为判断基础。</x:v>
      </x:c>
      <x:c r="J220" s="36" t="n">
        <x:v>1</x:v>
      </x:c>
    </x:row>
    <x:row r="221">
      <x:c r="A221" s="17" t="str">
        <x:v>Yuekai Yang</x:v>
      </x:c>
      <x:c r="B221" s="78" t="str">
        <x:v>杨悦凯</x:v>
      </x:c>
      <x:c r="C221" s="78" t="str">
        <x:v>低</x:v>
      </x:c>
      <x:c r="D221" s="17" t="str">
        <x:v>仅拼音最佳猜测</x:v>
      </x:c>
      <x:c r="E221" s="16" t="str">
        <x:v>WBF登记为“Yuekai Yang”；按姓名拼音与中国姓名常见用字给出“杨悦凯”作为可检索候选。未找到能与同届队伍/搭档闭环的国内中文名单。</x:v>
      </x:c>
      <x:c r="F221" s="16" t="str">
        <x:v>2024-07-13—2024-07-18｜第8届世界青年跨国锦标赛｜U21 Teams｜RDFZ B (CHN/USA)
2026-08-03—2026-08-08｜第9届世界青年跨国锦标赛｜U21 Pairs｜Che Han – Yuekai Yang
2026-08-03—2026-08-08｜第9届世界青年跨国锦标赛｜U21 Teams｜CHINA RDFZ BAXI</x:v>
      </x:c>
      <x:c r="G221" s="16" t="str"/>
      <x:c r="H221" s="16" t="str">
        <x:v>https://championships.worldbridge.org/8th-world-youth-transnational-championships
https://db.worldbridge.org/Repository/tourn/hefei.26/microsite/Asp/TotalPairs.asp?qtournid=2666&amp;qgroupno=1&amp;qroundno=3
https://db.worldbridge.org/Repository/tourn/hefei.26/microsite/results.htm</x:v>
      </x:c>
      <x:c r="I221" s="16" t="str">
        <x:v>姓氏同音（如 Yu=于/余/俞）及名字同音字均可能；不能视为身份确认。</x:v>
      </x:c>
      <x:c r="J221" s="17" t="n">
        <x:v>3</x:v>
      </x:c>
    </x:row>
    <x:row r="222">
      <x:c r="A222" s="36" t="str">
        <x:v>Yueling Gu</x:v>
      </x:c>
      <x:c r="B222" s="67" t="str">
        <x:v>顾悦玲</x:v>
      </x:c>
      <x:c r="C222" s="67" t="str">
        <x:v>中</x:v>
      </x:c>
      <x:c r="D222" s="36" t="str">
        <x:v>赛事时间、队伍/搭档与拼音交叉</x:v>
      </x:c>
      <x:c r="E222" s="35" t="str">
        <x:v>WBF登记为“Yueling Gu”；结合所列赛事年代、年龄组、队伍/搭档与国内常见写法，最佳候选为“顾悦玲”。尚缺一份能同时列出英文拼音与中文全名的直接名单。</x:v>
      </x:c>
      <x:c r="F222" s="35" t="str">
        <x:v>2017-08-15—2017-08-24｜第5届世界青年公开锦标赛｜U26 Women Teams / Girls Teams｜SH XIN JIANGNAN TEAM</x:v>
      </x:c>
      <x:c r="G222" s="35" t="str"/>
      <x:c r="H222" s="35" t="str">
        <x:v>https://db.worldbridge.org/repository/tourn/lyonyouth.17/microsite/Asp/knockoutphase.asp?qtournid=1460&amp;qphase=FF</x:v>
      </x:c>
      <x:c r="I222" s="35" t="str">
        <x:v>汉字可能有同音替代，故标为中确定度；国内资料栏不填，避免把间接报道当成直接证据。</x:v>
      </x:c>
      <x:c r="J222" s="36" t="n">
        <x:v>1</x:v>
      </x:c>
    </x:row>
    <x:row r="223">
      <x:c r="A223" s="17" t="str">
        <x:v>Yufan Liao</x:v>
      </x:c>
      <x:c r="B223" s="61" t="str">
        <x:v>廖宇凡</x:v>
      </x:c>
      <x:c r="C223" s="61" t="str">
        <x:v>高</x:v>
      </x:c>
      <x:c r="D223" s="17" t="str">
        <x:v>国内中文名单/报道 + WBF阵容交叉</x:v>
      </x:c>
      <x:c r="E223" s="16" t="str">
        <x:v>WBF登记为“Yufan Liao”；国内桥牌资讯中出现“廖宇凡”，并用同届比赛、队伍/搭档和活动时间交叉，拼音与中文姓名可形成较唯一对应。</x:v>
      </x:c>
      <x:c r="F223" s="16" t="str">
        <x:v>2018-08-08—2018-08-18｜世界青年团体锦标赛｜Youth BAM｜CHINA YOUNGSTERS
2026-08-03—2026-08-08｜第9届世界青年跨国锦标赛｜U31 Teams｜AGOOFANS</x:v>
      </x:c>
      <x:c r="G223" s="16" t="str">
        <x:v>https://www.xxbridge.com/M.aspx?m=1913&amp;n=6&amp;r=50&amp;t=2</x:v>
      </x:c>
      <x:c r="H223" s="16" t="str">
        <x:v>https://www.worldbridge.org/competitions/the-world-youth-team-championships/
https://db.worldbridge.org/Repository/tourn/hefei.26/microsite/results.htm</x:v>
      </x:c>
      <x:c r="I223" s="16" t="str">
        <x:v>仍可能存在WBF名序、空格或旧库拼写差异；以所列中文资料和赛事上下文为判断基础。</x:v>
      </x:c>
      <x:c r="J223" s="17" t="n">
        <x:v>2</x:v>
      </x:c>
    </x:row>
    <x:row r="224">
      <x:c r="A224" s="36" t="str">
        <x:v>Yujie Jiang</x:v>
      </x:c>
      <x:c r="B224" s="67" t="str">
        <x:v>蒋宇杰</x:v>
      </x:c>
      <x:c r="C224" s="67" t="str">
        <x:v>中</x:v>
      </x:c>
      <x:c r="D224" s="36" t="str">
        <x:v>赛事时间、队伍/搭档与拼音交叉</x:v>
      </x:c>
      <x:c r="E224" s="35" t="str">
        <x:v>WBF登记为“Yujie Jiang”；结合所列赛事年代、年龄组、队伍/搭档与国内常见写法，最佳候选为“蒋宇杰”。尚缺一份能同时列出英文拼音与中文全名的直接名单。</x:v>
      </x:c>
      <x:c r="F224" s="35" t="str">
        <x:v>2008-10-03—2008-10-18｜第1届世界智力运动会 / 世界桥牌运动会｜U21 Teams 青年团体｜CHINA
2012-07-25—2012-08-04｜世界青年团体锦标赛｜U26 Teams｜CHINA</x:v>
      </x:c>
      <x:c r="G224" s="35" t="str"/>
      <x:c r="H224" s="35" t="str">
        <x:v>https://db.worldbridge.org/repository/tourn/Beijing.08/Beijing.htm
https://www.worldbridge.org/competitions/the-world-youth-team-championships/</x:v>
      </x:c>
      <x:c r="I224" s="35" t="str">
        <x:v>汉字可能有同音替代，故标为中确定度；国内资料栏不填，避免把间接报道当成直接证据。</x:v>
      </x:c>
      <x:c r="J224" s="36" t="n">
        <x:v>2</x:v>
      </x:c>
    </x:row>
    <x:row r="225">
      <x:c r="A225" s="17" t="str">
        <x:v>Yunpeng Chen</x:v>
      </x:c>
      <x:c r="B225" s="61" t="str">
        <x:v>陈云芃</x:v>
      </x:c>
      <x:c r="C225" s="61" t="str">
        <x:v>高</x:v>
      </x:c>
      <x:c r="D225" s="17" t="str">
        <x:v>国内中文名单/报道 + WBF阵容交叉</x:v>
      </x:c>
      <x:c r="E225" s="16" t="str">
        <x:v>WBF登记为“Yunpeng Chen”；国内桥牌资讯中出现“陈云芃”，并用同届比赛、队伍/搭档和活动时间交叉，拼音与中文姓名可形成较唯一对应。</x:v>
      </x:c>
      <x:c r="F225" s="16" t="str">
        <x:v>2015-08-20—2015-08-29｜第4届世界青年公开锦标赛｜U26 Women Teams / Girls Teams｜SX XHLD
2016-08-03—2016-08-13｜世界青年团体锦标赛｜U16 Teams｜CHINA2
2017-08-15—2017-08-24｜第5届世界青年公开锦标赛｜U26 Women Pairs / Girls Pairs｜Yunpeng Chen – Jiaming Xu
2017-08-15—2017-08-24｜第5届世界青年公开锦标赛｜U26 Women Teams / Girls Teams｜SHENGXING TEAM 1
另有2条，见个人奖牌榜明细</x:v>
      </x:c>
      <x:c r="G225" s="16" t="str">
        <x:v>https://news.qq.com/rain/a/20250828A04GG700</x:v>
      </x:c>
      <x:c r="H225" s="16" t="str">
        <x:v>https://db.worldbridge.org/Repository/tourn/Opatija.15/Microsite/Results.htm
https://www.worldbridge.org/competitions/the-world-youth-team-championships/
https://db.worldbridge.org/repository/tourn/lyonyouth.17/microsite/Asp/TotalPairs.asp?qtournid=1456&amp;qroundno=3&amp;qgroupno=1
https://db.worldbridge.org/repository/tourn/lyonyouth.17/microsite/Asp/knockoutphase.asp?qtournid=1460&amp;qphase=FF
https://www.worldbridge.org/2019/08/6th-world-youth-open-championships-the-teams-and-bam-winners/
https://www.worldbridge.org/2025/07/19th-world-youth-team-championships-the-winners/</x:v>
      </x:c>
      <x:c r="I225" s="16" t="str">
        <x:v>仍可能存在WBF名序、空格或旧库拼写差异；以所列中文资料和赛事上下文为判断基础。</x:v>
      </x:c>
      <x:c r="J225" s="17" t="n">
        <x:v>6</x:v>
      </x:c>
    </x:row>
    <x:row r="226">
      <x:c r="A226" s="36" t="str">
        <x:v>Yuran Zhang</x:v>
      </x:c>
      <x:c r="B226" s="78" t="str">
        <x:v>张予然</x:v>
      </x:c>
      <x:c r="C226" s="78" t="str">
        <x:v>低</x:v>
      </x:c>
      <x:c r="D226" s="36" t="str">
        <x:v>仅拼音最佳猜测</x:v>
      </x:c>
      <x:c r="E226" s="35" t="str">
        <x:v>WBF登记为“Yuran Zhang”；按姓名拼音与中国姓名常见用字给出“张予然”作为可检索候选。未找到能与同届队伍/搭档闭环的国内中文名单。</x:v>
      </x:c>
      <x:c r="F226" s="35" t="str">
        <x:v>2026-08-03—2026-08-08｜第9届世界青年跨国锦标赛｜U16 Teams｜SHANGHAI NTBC TANK</x:v>
      </x:c>
      <x:c r="G226" s="35" t="str"/>
      <x:c r="H226" s="35" t="str">
        <x:v>https://db.worldbridge.org/Repository/tourn/hefei.26/microsite/results.htm</x:v>
      </x:c>
      <x:c r="I226" s="35" t="str">
        <x:v>姓氏同音（如 Yu=于/余/俞）及名字同音字均可能；不能视为身份确认。</x:v>
      </x:c>
      <x:c r="J226" s="36" t="n">
        <x:v>1</x:v>
      </x:c>
    </x:row>
    <x:row r="227">
      <x:c r="A227" s="17" t="str">
        <x:v>Yuxuan Liu</x:v>
      </x:c>
      <x:c r="B227" s="78" t="str">
        <x:v>刘宇轩</x:v>
      </x:c>
      <x:c r="C227" s="78" t="str">
        <x:v>低</x:v>
      </x:c>
      <x:c r="D227" s="17" t="str">
        <x:v>仅拼音最佳猜测</x:v>
      </x:c>
      <x:c r="E227" s="16" t="str">
        <x:v>WBF登记为“Yuxuan Liu”；按姓名拼音与中国姓名常见用字给出“刘宇轩”作为可检索候选。未找到能与同届队伍/搭档闭环的国内中文名单。</x:v>
      </x:c>
      <x:c r="F227" s="16" t="str">
        <x:v>2026-08-03—2026-08-08｜第9届世界青年跨国锦标赛｜U21 Pairs｜Jeff Xiao – Yuxuan Liu</x:v>
      </x:c>
      <x:c r="G227" s="16" t="str"/>
      <x:c r="H227" s="16" t="str">
        <x:v>https://db.worldbridge.org/Repository/tourn/hefei.26/microsite/Asp/TotalPairs.asp?qtournid=2666&amp;qgroupno=1&amp;qroundno=3</x:v>
      </x:c>
      <x:c r="I227" s="16" t="str">
        <x:v>姓氏同音（如 Yu=于/余/俞）及名字同音字均可能；不能视为身份确认。</x:v>
      </x:c>
      <x:c r="J227" s="17" t="n">
        <x:v>1</x:v>
      </x:c>
    </x:row>
    <x:row r="228">
      <x:c r="A228" s="36" t="str">
        <x:v>Yuyi Bu</x:v>
      </x:c>
      <x:c r="B228" s="78" t="str">
        <x:v>卜宇毅</x:v>
      </x:c>
      <x:c r="C228" s="78" t="str">
        <x:v>低</x:v>
      </x:c>
      <x:c r="D228" s="36" t="str">
        <x:v>仅拼音最佳猜测</x:v>
      </x:c>
      <x:c r="E228" s="35" t="str">
        <x:v>WBF登记为“Yuyi Bu”；按姓名拼音与中国姓名常见用字给出“卜宇毅”作为可检索候选。未找到能与同届队伍/搭档闭环的国内中文名单。</x:v>
      </x:c>
      <x:c r="F228" s="35" t="str">
        <x:v>2025-07-12—2025-07-17｜第19届世界青年团体锦标赛｜U16 BAM｜CHINA</x:v>
      </x:c>
      <x:c r="G228" s="35" t="str"/>
      <x:c r="H228" s="35" t="str">
        <x:v>https://www.worldbridge.org/2025/07/19th-world-youth-team-championships-the-winners/</x:v>
      </x:c>
      <x:c r="I228" s="35" t="str">
        <x:v>姓氏同音（如 Yu=于/余/俞）及名字同音字均可能；不能视为身份确认。</x:v>
      </x:c>
      <x:c r="J228" s="36" t="n">
        <x:v>1</x:v>
      </x:c>
    </x:row>
    <x:row r="229">
      <x:c r="A229" s="17" t="str">
        <x:v>Zanchao Cui</x:v>
      </x:c>
      <x:c r="B229" s="61" t="str">
        <x:v>崔昝超</x:v>
      </x:c>
      <x:c r="C229" s="61" t="str">
        <x:v>高</x:v>
      </x:c>
      <x:c r="D229" s="17" t="str">
        <x:v>国内中文名单/报道 + WBF阵容交叉</x:v>
      </x:c>
      <x:c r="E229" s="16" t="str">
        <x:v>WBF登记为“Zanchao Cui”；国内桥牌资讯中出现“崔昝超”，并用同届比赛、队伍/搭档和活动时间交叉，拼音与中文姓名可形成较唯一对应。</x:v>
      </x:c>
      <x:c r="F229" s="16" t="str">
        <x:v>2018-08-08—2018-08-18｜世界青年团体锦标赛｜U16 Teams｜CHINA3</x:v>
      </x:c>
      <x:c r="G229" s="16" t="str">
        <x:v>https://sports.sina.cn/others/qipai/2020-07-07/detail-iirczymm1038498.d.html?vt=4</x:v>
      </x:c>
      <x:c r="H229" s="16" t="str">
        <x:v>https://www.worldbridge.org/competitions/the-world-youth-team-championships/</x:v>
      </x:c>
      <x:c r="I229" s="16" t="str">
        <x:v>仍可能存在WBF名序、空格或旧库拼写差异；以所列中文资料和赛事上下文为判断基础。</x:v>
      </x:c>
      <x:c r="J229" s="17" t="n">
        <x:v>1</x:v>
      </x:c>
    </x:row>
    <x:row r="230">
      <x:c r="A230" s="36" t="str">
        <x:v>Zejun Zhuang</x:v>
      </x:c>
      <x:c r="B230" s="61" t="str">
        <x:v>庄则军</x:v>
      </x:c>
      <x:c r="C230" s="61" t="str">
        <x:v>高</x:v>
      </x:c>
      <x:c r="D230" s="36" t="str">
        <x:v>国内中文名单/报道 + WBF阵容交叉</x:v>
      </x:c>
      <x:c r="E230" s="35" t="str">
        <x:v>WBF登记为“Zejun Zhuang”；国内桥牌资讯中出现“庄则军”，并用同届比赛、队伍/搭档和活动时间交叉，拼音与中文姓名可形成较唯一对应。</x:v>
      </x:c>
      <x:c r="F230" s="35" t="str">
        <x:v>2003｜世界桥牌团体锦标赛｜Transnational Open Teams 跨国公开团体｜CHINA
2012｜世界桥牌运动会｜Transnational Mixed Teams 跨国混合团体｜CHINA
2013｜世界桥牌团体锦标赛｜Transnational Open Teams 跨国公开团体｜CHINA
2014-10｜世界桥牌综合锦标赛｜Mixed Teams 混合团体｜CHINA</x:v>
      </x:c>
      <x:c r="G230" s="35" t="str">
        <x:v>https://www.ourgame.com/arranghtml/news7.html</x:v>
      </x:c>
      <x:c r="H230" s="35" t="str">
        <x:v>https://www.wbfmasterpoints.com/Medalsreport.asp</x:v>
      </x:c>
      <x:c r="I230" s="35" t="str">
        <x:v>仍可能存在WBF名序、空格或旧库拼写差异；以所列中文资料和赛事上下文为判断基础。</x:v>
      </x:c>
      <x:c r="J230" s="36" t="n">
        <x:v>4</x:v>
      </x:c>
    </x:row>
    <x:row r="231">
      <x:c r="A231" s="17" t="str">
        <x:v>Zekun Zhu</x:v>
      </x:c>
      <x:c r="B231" s="78" t="str">
        <x:v>朱泽坤</x:v>
      </x:c>
      <x:c r="C231" s="78" t="str">
        <x:v>低</x:v>
      </x:c>
      <x:c r="D231" s="17" t="str">
        <x:v>仅拼音最佳猜测</x:v>
      </x:c>
      <x:c r="E231" s="16" t="str">
        <x:v>WBF登记为“Zekun Zhu”；按姓名拼音与中国姓名常见用字给出“朱泽坤”作为可检索候选。未找到能与同届队伍/搭档闭环的国内中文名单。</x:v>
      </x:c>
      <x:c r="F231" s="16" t="str">
        <x:v>2025-07-12—2025-07-17｜第19届世界青年团体锦标赛｜U16 BAM｜CHINA</x:v>
      </x:c>
      <x:c r="G231" s="16" t="str"/>
      <x:c r="H231" s="16" t="str">
        <x:v>https://www.worldbridge.org/2025/07/19th-world-youth-team-championships-the-winners/</x:v>
      </x:c>
      <x:c r="I231" s="16" t="str">
        <x:v>姓氏同音（如 Yu=于/余/俞）及名字同音字均可能；不能视为身份确认。</x:v>
      </x:c>
      <x:c r="J231" s="17" t="n">
        <x:v>1</x:v>
      </x:c>
    </x:row>
    <x:row r="232">
      <x:c r="A232" s="36" t="str">
        <x:v>Zhaochen Yu</x:v>
      </x:c>
      <x:c r="B232" s="78" t="str">
        <x:v>于昭宸</x:v>
      </x:c>
      <x:c r="C232" s="78" t="str">
        <x:v>低</x:v>
      </x:c>
      <x:c r="D232" s="36" t="str">
        <x:v>仅拼音最佳猜测</x:v>
      </x:c>
      <x:c r="E232" s="35" t="str">
        <x:v>WBF登记为“Zhaochen Yu”；按姓名拼音与中国姓名常见用字给出“于昭宸”作为可检索候选。未找到能与同届队伍/搭档闭环的国内中文名单。</x:v>
      </x:c>
      <x:c r="F232" s="35" t="str">
        <x:v>2017-08-15—2017-08-24｜第5届世界青年公开锦标赛｜U16 BAM｜SHENGXING VENUS
2017-08-15—2017-08-24｜第5届世界青年公开锦标赛｜U16 Pairs / Kids Pairs｜Ruicheng Mao – Zhaochen Yu
2017-08-15—2017-08-24｜第5届世界青年公开锦标赛｜U16 Teams / Kids Teams｜SHENGXING VENUS</x:v>
      </x:c>
      <x:c r="G232" s="35" t="str"/>
      <x:c r="H232" s="35" t="str">
        <x:v>https://www.worldbridge.org/competitions/the-world-youth-transnational-bridge-championships/
https://db.worldbridge.org/repository/tourn/lyonyouth.17/microsite/Asp/TotalPairs.asp?qtournid=1457&amp;qroundno=3&amp;qgroupno=1</x:v>
      </x:c>
      <x:c r="I232" s="35" t="str">
        <x:v>姓氏同音（如 Yu=于/余/俞）及名字同音字均可能；不能视为身份确认。</x:v>
      </x:c>
      <x:c r="J232" s="36" t="n">
        <x:v>3</x:v>
      </x:c>
    </x:row>
    <x:row r="233">
      <x:c r="A233" s="17" t="str">
        <x:v>Zhaofeng Wang</x:v>
      </x:c>
      <x:c r="B233" s="61" t="str">
        <x:v>王照峰</x:v>
      </x:c>
      <x:c r="C233" s="61" t="str">
        <x:v>高</x:v>
      </x:c>
      <x:c r="D233" s="17" t="str">
        <x:v>国内中文名单/报道 + WBF阵容交叉</x:v>
      </x:c>
      <x:c r="E233" s="16" t="str">
        <x:v>WBF登记为“Zhaofeng Wang”；国内桥牌资讯中出现“王照峰”，并用同届比赛、队伍/搭档和活动时间交叉，拼音与中文姓名可形成较唯一对应。</x:v>
      </x:c>
      <x:c r="F233" s="16" t="str">
        <x:v>2017-08-15—2017-08-24｜第5届世界青年公开锦标赛｜U16 Teams / Kids Teams｜CHINA RDFZ GALAXY</x:v>
      </x:c>
      <x:c r="G233" s="16" t="str">
        <x:v>https://sports.sina.cn/others/qipai/2020-07-07/detail-iirczymm1038498.d.html?vt=4</x:v>
      </x:c>
      <x:c r="H233" s="16" t="str">
        <x:v>https://www.worldbridge.org/competitions/the-world-youth-transnational-bridge-championships/</x:v>
      </x:c>
      <x:c r="I233" s="16" t="str">
        <x:v>仍可能存在WBF名序、空格或旧库拼写差异；以所列中文资料和赛事上下文为判断基础。</x:v>
      </x:c>
      <x:c r="J233" s="17" t="n">
        <x:v>1</x:v>
      </x:c>
    </x:row>
    <x:row r="234">
      <x:c r="A234" s="36" t="str">
        <x:v>Zhe Wu</x:v>
      </x:c>
      <x:c r="B234" s="67" t="str">
        <x:v>吴哲</x:v>
      </x:c>
      <x:c r="C234" s="67" t="str">
        <x:v>中</x:v>
      </x:c>
      <x:c r="D234" s="36" t="str">
        <x:v>赛事时间、队伍/搭档与拼音交叉</x:v>
      </x:c>
      <x:c r="E234" s="35" t="str">
        <x:v>WBF登记为“Zhe Wu”；结合所列赛事年代、年龄组、队伍/搭档与国内常见写法，最佳候选为“吴哲”。尚缺一份能同时列出英文拼音与中文全名的直接名单。</x:v>
      </x:c>
      <x:c r="F234" s="35" t="str">
        <x:v>2015-08-20—2015-08-29｜第4届世界青年公开锦标赛｜U16 Pairs / Kids Pairs｜Zhe Wu – Zhijie Yuan</x:v>
      </x:c>
      <x:c r="G234" s="35" t="str"/>
      <x:c r="H234" s="35" t="str">
        <x:v>https://www.worldbridge.org/competitions/the-world-youth-transnational-bridge-championships/</x:v>
      </x:c>
      <x:c r="I234" s="35" t="str">
        <x:v>汉字可能有同音替代，故标为中确定度；国内资料栏不填，避免把间接报道当成直接证据。</x:v>
      </x:c>
      <x:c r="J234" s="36" t="n">
        <x:v>1</x:v>
      </x:c>
    </x:row>
    <x:row r="235">
      <x:c r="A235" s="17" t="str">
        <x:v>Zhengjiang Liao</x:v>
      </x:c>
      <x:c r="B235" s="61" t="str">
        <x:v>廖正江</x:v>
      </x:c>
      <x:c r="C235" s="61" t="str">
        <x:v>高</x:v>
      </x:c>
      <x:c r="D235" s="17" t="str">
        <x:v>国内中文名单/报道 + WBF阵容交叉</x:v>
      </x:c>
      <x:c r="E235" s="16" t="str">
        <x:v>WBF登记为“Zhengjiang Liao”；国内桥牌资讯中出现“廖正江”，并用同届比赛、队伍/搭档和活动时间交叉，拼音与中文姓名可形成较唯一对应。</x:v>
      </x:c>
      <x:c r="F235" s="16" t="str">
        <x:v>2025-08-20—2025-08-31｜第47届世界桥牌团体锦标赛｜Venice Cup 女子团体｜CHINA</x:v>
      </x:c>
      <x:c r="G235" s="16" t="str">
        <x:v>https://news.qq.com/rain/a/20250828A04GG700</x:v>
      </x:c>
      <x:c r="H235" s="16" t="str">
        <x:v>https://www.worldbridge.org/2025/08/congratulations-to-the-champions/</x:v>
      </x:c>
      <x:c r="I235" s="16" t="str">
        <x:v>仍可能存在WBF名序、空格或旧库拼写差异；以所列中文资料和赛事上下文为判断基础。</x:v>
      </x:c>
      <x:c r="J235" s="17" t="n">
        <x:v>1</x:v>
      </x:c>
    </x:row>
    <x:row r="236">
      <x:c r="A236" s="36" t="str">
        <x:v>Zhengjun Shi</x:v>
      </x:c>
      <x:c r="B236" s="61" t="str">
        <x:v>石正钧</x:v>
      </x:c>
      <x:c r="C236" s="61" t="str">
        <x:v>高</x:v>
      </x:c>
      <x:c r="D236" s="36" t="str">
        <x:v>国内中文名单/报道 + WBF阵容交叉</x:v>
      </x:c>
      <x:c r="E236" s="35" t="str">
        <x:v>WBF登记为“Zhengjun Shi”；国内桥牌资讯中出现“石正钧”，并用同届比赛、队伍/搭档和活动时间交叉，拼音与中文姓名可形成较唯一对应。</x:v>
      </x:c>
      <x:c r="F236" s="35" t="str">
        <x:v>2008-10-03—2008-10-18｜第1届世界智力运动会 / 世界桥牌运动会｜Transnational Mixed Teams 跨国混合团体｜A-EVERTRUST HOLDING GROUP
2017｜世界桥牌团体锦标赛｜Transnational Open Teams 跨国公开团体｜TRANSNATIONAL TEAM</x:v>
      </x:c>
      <x:c r="G236" s="35" t="str">
        <x:v>https://sports.sina.cn/others/qipai/2020-07-07/detail-iirczymm1038498.d.html?vt=4</x:v>
      </x:c>
      <x:c r="H236" s="35" t="str">
        <x:v>https://db.worldbridge.org/repository/tourn/Beijing.08/Beijing.htm
https://www.wbfmasterpoints.com/Medalsreport.asp</x:v>
      </x:c>
      <x:c r="I236" s="35" t="str">
        <x:v>仍可能存在WBF名序、空格或旧库拼写差异；以所列中文资料和赛事上下文为判断基础。</x:v>
      </x:c>
      <x:c r="J236" s="36" t="n">
        <x:v>2</x:v>
      </x:c>
    </x:row>
    <x:row r="237">
      <x:c r="A237" s="17" t="str">
        <x:v>Zhenguo Wu</x:v>
      </x:c>
      <x:c r="B237" s="78" t="str">
        <x:v>吴镇国</x:v>
      </x:c>
      <x:c r="C237" s="78" t="str">
        <x:v>低</x:v>
      </x:c>
      <x:c r="D237" s="17" t="str">
        <x:v>仅拼音最佳猜测</x:v>
      </x:c>
      <x:c r="E237" s="16" t="str">
        <x:v>WBF登记为“Zhenguo Wu”；按姓名拼音与中国姓名常见用字给出“吴镇国”作为可检索候选。未找到能与同届队伍/搭档闭环的国内中文名单。</x:v>
      </x:c>
      <x:c r="F237" s="16" t="str">
        <x:v>2008-10-03—2008-10-18｜第1届世界智力运动会 / 世界桥牌运动会｜U28 Teams 青年团体｜CHINA</x:v>
      </x:c>
      <x:c r="G237" s="16" t="str"/>
      <x:c r="H237" s="16" t="str">
        <x:v>https://db.worldbridge.org/repository/tourn/Beijing.08/Beijing.htm
https://db.worldbridge.org/repository/tourn/Beijing.08/Asp/knockoutphase.asp?qtournid=708&amp;qphase=PO
https://db.worldbridge.org/repository/tourn/Beijing.08/ASP/participantsDetail.asp?qteamid=5535</x:v>
      </x:c>
      <x:c r="I237" s="16" t="str">
        <x:v>姓氏同音（如 Yu=于/余/俞）及名字同音字均可能；不能视为身份确认。</x:v>
      </x:c>
      <x:c r="J237" s="17" t="n">
        <x:v>1</x:v>
      </x:c>
    </x:row>
    <x:row r="238">
      <x:c r="A238" s="36" t="str">
        <x:v>Zhengyang Fang</x:v>
      </x:c>
      <x:c r="B238" s="61" t="str">
        <x:v>房正阳</x:v>
      </x:c>
      <x:c r="C238" s="61" t="str">
        <x:v>高</x:v>
      </x:c>
      <x:c r="D238" s="36" t="str">
        <x:v>国内中文名单/报道 + WBF阵容交叉</x:v>
      </x:c>
      <x:c r="E238" s="35" t="str">
        <x:v>WBF登记为“Zhengyang Fang”；国内桥牌资讯中出现“房正阳”，并用同届比赛、队伍/搭档和活动时间交叉，拼音与中文姓名可形成较唯一对应。</x:v>
      </x:c>
      <x:c r="F238" s="35" t="str">
        <x:v>2015-08-20—2015-08-29｜第4届世界青年公开锦标赛｜U21 Pairs｜Yichen Yin – Zhengyang Fang
2015-08-20—2015-08-29｜第4届世界青年公开锦标赛｜U21 Teams / Youngsters Teams｜CHINA</x:v>
      </x:c>
      <x:c r="G238" s="35" t="str">
        <x:v>https://www.chinanews.com/ty/2015/04-01/7177669.shtml</x:v>
      </x:c>
      <x:c r="H238" s="35" t="str">
        <x:v>https://www.worldbridge.org/competitions/the-world-youth-transnational-bridge-championships/
https://db.worldbridge.org/repository/tourn/opatija.15/Microsite/Results.htm</x:v>
      </x:c>
      <x:c r="I238" s="35" t="str">
        <x:v>仍可能存在WBF名序、空格或旧库拼写差异；以所列中文资料和赛事上下文为判断基础。</x:v>
      </x:c>
      <x:c r="J238" s="36" t="n">
        <x:v>2</x:v>
      </x:c>
    </x:row>
    <x:row r="239">
      <x:c r="A239" s="17" t="str">
        <x:v>Zhenhao Cai</x:v>
      </x:c>
      <x:c r="B239" s="61" t="str">
        <x:v>蔡振浩</x:v>
      </x:c>
      <x:c r="C239" s="61" t="str">
        <x:v>高</x:v>
      </x:c>
      <x:c r="D239" s="17" t="str">
        <x:v>国内中文名单/报道 + WBF阵容交叉</x:v>
      </x:c>
      <x:c r="E239" s="16" t="str">
        <x:v>WBF登记为“Zhenhao Cai”；国内桥牌资讯中出现“蔡振浩”，并用同届比赛、队伍/搭档和活动时间交叉，拼音与中文姓名可形成较唯一对应。</x:v>
      </x:c>
      <x:c r="F239" s="16" t="str">
        <x:v>2017-08-15—2017-08-24｜第5届世界青年公开锦标赛｜U16 Teams / Kids Teams｜CHINA RDFZ GALAXY</x:v>
      </x:c>
      <x:c r="G239" s="16" t="str">
        <x:v>https://sports.sina.cn/others/qipai/2020-07-07/detail-iirczymm1038498.d.html?vt=4</x:v>
      </x:c>
      <x:c r="H239" s="16" t="str">
        <x:v>https://www.worldbridge.org/competitions/the-world-youth-transnational-bridge-championships/</x:v>
      </x:c>
      <x:c r="I239" s="16" t="str">
        <x:v>仍可能存在WBF名序、空格或旧库拼写差异；以所列中文资料和赛事上下文为判断基础。</x:v>
      </x:c>
      <x:c r="J239" s="17" t="n">
        <x:v>1</x:v>
      </x:c>
    </x:row>
    <x:row r="240">
      <x:c r="A240" s="36" t="str">
        <x:v>Zhenyue Lu</x:v>
      </x:c>
      <x:c r="B240" s="78" t="str">
        <x:v>陆振岳</x:v>
      </x:c>
      <x:c r="C240" s="78" t="str">
        <x:v>低</x:v>
      </x:c>
      <x:c r="D240" s="36" t="str">
        <x:v>仅拼音最佳猜测</x:v>
      </x:c>
      <x:c r="E240" s="35" t="str">
        <x:v>WBF登记为“Zhenyue Lu”；按姓名拼音与中国姓名常见用字给出“陆振岳”作为可检索候选。未找到能与同届队伍/搭档闭环的国内中文名单。</x:v>
      </x:c>
      <x:c r="F240" s="35" t="str">
        <x:v>2019-08-20—2019-08-29｜第6届世界青年公开锦标赛｜U16 Teams｜SXSATURN</x:v>
      </x:c>
      <x:c r="G240" s="35" t="str"/>
      <x:c r="H240" s="35" t="str">
        <x:v>https://www.worldbridge.org/2019/08/6th-world-youth-open-championships-the-teams-and-bam-winners/</x:v>
      </x:c>
      <x:c r="I240" s="35" t="str">
        <x:v>姓氏同音（如 Yu=于/余/俞）及名字同音字均可能；不能视为身份确认。</x:v>
      </x:c>
      <x:c r="J240" s="36" t="n">
        <x:v>1</x:v>
      </x:c>
    </x:row>
    <x:row r="241">
      <x:c r="A241" s="17" t="str">
        <x:v>Zhi Tang</x:v>
      </x:c>
      <x:c r="B241" s="61" t="str">
        <x:v>唐志</x:v>
      </x:c>
      <x:c r="C241" s="61" t="str">
        <x:v>高</x:v>
      </x:c>
      <x:c r="D241" s="17" t="str">
        <x:v>国内中文名单/报道 + WBF阵容交叉</x:v>
      </x:c>
      <x:c r="E241" s="16" t="str">
        <x:v>WBF登记为“Zhi Tang”；国内桥牌资讯中出现“唐志”，并用同届比赛、队伍/搭档和活动时间交叉，拼音与中文姓名可形成较唯一对应。</x:v>
      </x:c>
      <x:c r="F241" s="16" t="str">
        <x:v>2016-08-03—2016-08-13｜世界青年团体锦标赛｜U26 Teams｜CHINA</x:v>
      </x:c>
      <x:c r="G241" s="16" t="str">
        <x:v>https://sports.sina.cn/others/qipai/2020-07-07/detail-iirczymm1038498.d.html?vt=4</x:v>
      </x:c>
      <x:c r="H241" s="16" t="str">
        <x:v>https://www.worldbridge.org/competitions/the-world-youth-team-championships/</x:v>
      </x:c>
      <x:c r="I241" s="16" t="str">
        <x:v>仍可能存在WBF名序、空格或旧库拼写差异；以所列中文资料和赛事上下文为判断基础。</x:v>
      </x:c>
      <x:c r="J241" s="17" t="n">
        <x:v>1</x:v>
      </x:c>
    </x:row>
    <x:row r="242">
      <x:c r="A242" s="36" t="str">
        <x:v>Zhijie Yuan</x:v>
      </x:c>
      <x:c r="B242" s="61" t="str">
        <x:v>袁智杰</x:v>
      </x:c>
      <x:c r="C242" s="61" t="str">
        <x:v>高</x:v>
      </x:c>
      <x:c r="D242" s="36" t="str">
        <x:v>国内中文名单/报道 + WBF阵容交叉</x:v>
      </x:c>
      <x:c r="E242" s="35" t="str">
        <x:v>WBF登记为“Zhijie Yuan”；国内桥牌资讯中出现“袁智杰”，并用同届比赛、队伍/搭档和活动时间交叉，拼音与中文姓名可形成较唯一对应。</x:v>
      </x:c>
      <x:c r="F242" s="35" t="str">
        <x:v>2015-08-20—2015-08-29｜第4届世界青年公开锦标赛｜U16 Pairs / Kids Pairs｜Zhe Wu – Zhijie Yuan
2017-08-15—2017-08-24｜第5届世界青年公开锦标赛｜U21 Pairs / Youngsters Pairs｜Cheng Deng – Zhijie Yuan
2017-08-15—2017-08-24｜第5届世界青年公开锦标赛｜U21 Teams / Youngsters Teams｜SHENGXING TEAM</x:v>
      </x:c>
      <x:c r="G242" s="35" t="str">
        <x:v>https://www.chinanews.com/ty/2015/04-01/7177669.shtml</x:v>
      </x:c>
      <x:c r="H242" s="35" t="str">
        <x:v>https://www.worldbridge.org/competitions/the-world-youth-transnational-bridge-championships/
https://db.worldbridge.org/repository/tourn/lyonyouth.17/microsite/Asp/TotalPairs.asp?qtournid=1455&amp;qroundno=3&amp;qgroupno=1
https://db.worldbridge.org/repository/tourn/lyonyouth.17/microsite/results.htm</x:v>
      </x:c>
      <x:c r="I242" s="35" t="str">
        <x:v>仍可能存在WBF名序、空格或旧库拼写差异；以所列中文资料和赛事上下文为判断基础。</x:v>
      </x:c>
      <x:c r="J242" s="36" t="n">
        <x:v>3</x:v>
      </x:c>
    </x:row>
    <x:row r="243">
      <x:c r="A243" s="17" t="str">
        <x:v>Zhixian Tian</x:v>
      </x:c>
      <x:c r="B243" s="78" t="str">
        <x:v>田志贤</x:v>
      </x:c>
      <x:c r="C243" s="78" t="str">
        <x:v>低</x:v>
      </x:c>
      <x:c r="D243" s="17" t="str">
        <x:v>仅拼音最佳猜测</x:v>
      </x:c>
      <x:c r="E243" s="16" t="str">
        <x:v>WBF登记为“Zhixian Tian”；按姓名拼音与中国姓名常见用字给出“田志贤”作为可检索候选。未找到能与同届队伍/搭档闭环的国内中文名单。</x:v>
      </x:c>
      <x:c r="F243" s="16" t="str">
        <x:v>2019-08-20—2019-08-29｜第6届世界青年公开锦标赛｜U16 Teams｜SXSATURN</x:v>
      </x:c>
      <x:c r="G243" s="16" t="str"/>
      <x:c r="H243" s="16" t="str">
        <x:v>https://www.worldbridge.org/2019/08/6th-world-youth-open-championships-the-teams-and-bam-winners/</x:v>
      </x:c>
      <x:c r="I243" s="16" t="str">
        <x:v>姓氏同音（如 Yu=于/余/俞）及名字同音字均可能；不能视为身份确认。</x:v>
      </x:c>
      <x:c r="J243" s="17" t="n">
        <x:v>1</x:v>
      </x:c>
    </x:row>
    <x:row r="244">
      <x:c r="A244" s="36" t="str">
        <x:v>Zhiyu Cheng</x:v>
      </x:c>
      <x:c r="B244" s="61" t="str">
        <x:v>程知禹</x:v>
      </x:c>
      <x:c r="C244" s="61" t="str">
        <x:v>高</x:v>
      </x:c>
      <x:c r="D244" s="36" t="str">
        <x:v>国内中文名单/报道 + WBF阵容交叉</x:v>
      </x:c>
      <x:c r="E244" s="35" t="str">
        <x:v>WBF登记为“Zhiyu Cheng”；国内桥牌资讯中出现“程知禹”，并用同届比赛、队伍/搭档和活动时间交叉，拼音与中文姓名可形成较唯一对应。</x:v>
      </x:c>
      <x:c r="F244" s="35" t="str">
        <x:v>2014-08-13—2014-08-23｜世界青年团体锦标赛｜U16 Teams｜CHINA
2017-08-15—2017-08-24｜第5届世界青年公开锦标赛｜U21 Teams / Youngsters Teams｜CHINA
2018-08-08—2018-08-18｜世界青年团体锦标赛｜Youth BAM｜CHINA YOUNGSTERS</x:v>
      </x:c>
      <x:c r="G244" s="35" t="str">
        <x:v>https://www.ourgame.com/arranghtml/news7.html</x:v>
      </x:c>
      <x:c r="H244" s="35" t="str">
        <x:v>https://www.worldbridge.org/competitions/the-world-youth-team-championships/
https://db.worldbridge.org/repository/tourn/lyonyouth.17/microsite/results.htm</x:v>
      </x:c>
      <x:c r="I244" s="35" t="str">
        <x:v>仍可能存在WBF名序、空格或旧库拼写差异；以所列中文资料和赛事上下文为判断基础。</x:v>
      </x:c>
      <x:c r="J244" s="36" t="n">
        <x:v>3</x:v>
      </x:c>
    </x:row>
    <x:row r="245">
      <x:c r="A245" s="17" t="str">
        <x:v>Zhizhou Sha</x:v>
      </x:c>
      <x:c r="B245" s="67" t="str">
        <x:v>沙志舟</x:v>
      </x:c>
      <x:c r="C245" s="67" t="str">
        <x:v>中</x:v>
      </x:c>
      <x:c r="D245" s="17" t="str">
        <x:v>赛事时间、队伍/搭档与拼音交叉</x:v>
      </x:c>
      <x:c r="E245" s="16" t="str">
        <x:v>WBF登记为“Zhizhou Sha”；结合所列赛事年代、年龄组、队伍/搭档与国内常见写法，最佳候选为“沙志舟”。尚缺一份能同时列出英文拼音与中文全名的直接名单。</x:v>
      </x:c>
      <x:c r="F245" s="16" t="str">
        <x:v>2013｜第3届世界青年公开锦标赛｜U21 Teams / Youngsters Teams｜CHINA XNWY</x:v>
      </x:c>
      <x:c r="G245" s="16" t="str"/>
      <x:c r="H245" s="16" t="str">
        <x:v>https://www.worldbridge.org/competitions/the-world-youth-transnational-bridge-championships/the-u21-teams/</x:v>
      </x:c>
      <x:c r="I245" s="16" t="str">
        <x:v>汉字可能有同音替代，故标为中确定度；国内资料栏不填，避免把间接报道当成直接证据。</x:v>
      </x:c>
      <x:c r="J245" s="17" t="n">
        <x:v>1</x:v>
      </x:c>
    </x:row>
    <x:row r="246">
      <x:c r="A246" s="36" t="str">
        <x:v>Zhong Fu</x:v>
      </x:c>
      <x:c r="B246" s="61" t="str">
        <x:v>福中</x:v>
      </x:c>
      <x:c r="C246" s="61" t="str">
        <x:v>高</x:v>
      </x:c>
      <x:c r="D246" s="36" t="str">
        <x:v>国内中文名单/报道 + WBF阵容交叉</x:v>
      </x:c>
      <x:c r="E246" s="35" t="str">
        <x:v>WBF登记为“Zhong Fu”；国内桥牌资讯中出现“福中”，并用同届比赛、队伍/搭档和活动时间交叉，拼音与中文姓名可形成较唯一对应。</x:v>
      </x:c>
      <x:c r="F246" s="35" t="str">
        <x:v>2003｜世界桥牌团体锦标赛｜Transnational Open Teams 跨国公开团体｜CHINA
2004｜世界桥牌奥林匹克赛｜Transnational Mixed Teams 跨国混合团体｜CHINA
2006-06｜世界桥牌综合锦标赛｜Open Pairs 公开双人｜Zhong Fu – Jie Zhao</x:v>
      </x:c>
      <x:c r="G246" s="35" t="str">
        <x:v>https://zqb.cyol.com/content/2003-11/17/content_771888.htm</x:v>
      </x:c>
      <x:c r="H246" s="35" t="str">
        <x:v>https://www.wbfmasterpoints.com/Medalsreport.asp</x:v>
      </x:c>
      <x:c r="I246" s="35" t="str">
        <x:v>仍可能存在WBF名序、空格或旧库拼写差异；以所列中文资料和赛事上下文为判断基础。</x:v>
      </x:c>
      <x:c r="J246" s="36" t="n">
        <x:v>3</x:v>
      </x:c>
    </x:row>
    <x:row r="247">
      <x:c r="A247" s="17" t="str">
        <x:v>Zhuxiongjie Gao</x:v>
      </x:c>
      <x:c r="B247" s="61" t="str">
        <x:v>高朱雄杰</x:v>
      </x:c>
      <x:c r="C247" s="61" t="str">
        <x:v>高</x:v>
      </x:c>
      <x:c r="D247" s="17" t="str">
        <x:v>国内中文名单/报道 + WBF阵容交叉</x:v>
      </x:c>
      <x:c r="E247" s="16" t="str">
        <x:v>WBF登记为“Zhuxiongjie Gao”；国内桥牌资讯中出现“高朱雄杰”，并用同届比赛、队伍/搭档和活动时间交叉，拼音与中文姓名可形成较唯一对应。</x:v>
      </x:c>
      <x:c r="F247" s="16" t="str">
        <x:v>2019-08-20—2019-08-29｜第6届世界青年公开锦标赛｜U16 Teams｜SXMARS</x:v>
      </x:c>
      <x:c r="G247" s="16" t="str">
        <x:v>https://sports.sina.cn/others/qipai/2020-07-07/detail-iirczymm1038498.d.html?vt=4</x:v>
      </x:c>
      <x:c r="H247" s="16" t="str">
        <x:v>https://www.worldbridge.org/2019/08/6th-world-youth-open-championships-the-teams-and-bam-winners/</x:v>
      </x:c>
      <x:c r="I247" s="16" t="str">
        <x:v>仍可能存在WBF名序、空格或旧库拼写差异；以所列中文资料和赛事上下文为判断基础。</x:v>
      </x:c>
      <x:c r="J247" s="17" t="n">
        <x:v>1</x:v>
      </x:c>
    </x:row>
    <x:row r="248">
      <x:c r="A248" s="36" t="str">
        <x:v>Zi Jian Shao</x:v>
      </x:c>
      <x:c r="B248" s="61" t="str">
        <x:v>邵子健</x:v>
      </x:c>
      <x:c r="C248" s="61" t="str">
        <x:v>高</x:v>
      </x:c>
      <x:c r="D248" s="36" t="str">
        <x:v>国内中文名单/报道 + WBF阵容交叉</x:v>
      </x:c>
      <x:c r="E248" s="35" t="str">
        <x:v>WBF登记为“Zi Jian Shao”；国内桥牌资讯中出现“邵子健”，并用同届比赛、队伍/搭档和活动时间交叉，拼音与中文姓名可形成较唯一对应。</x:v>
      </x:c>
      <x:c r="F248" s="35" t="str">
        <x:v>2013｜世界桥牌团体锦标赛｜Transnational Open Teams 跨国公开团体｜CHINA</x:v>
      </x:c>
      <x:c r="G248" s="35" t="str">
        <x:v>https://sports.sina.cn/others/qipai/2020-07-07/detail-iirczymm1038498.d.html?vt=4</x:v>
      </x:c>
      <x:c r="H248" s="35" t="str">
        <x:v>https://www.wbfmasterpoints.com/Medalsreport.asp</x:v>
      </x:c>
      <x:c r="I248" s="35" t="str">
        <x:v>仍可能存在WBF名序、空格或旧库拼写差异；以所列中文资料和赛事上下文为判断基础。</x:v>
      </x:c>
      <x:c r="J248" s="36" t="n">
        <x:v>1</x:v>
      </x:c>
    </x:row>
    <x:row r="249">
      <x:c r="A249" s="17" t="str">
        <x:v>Zian Wang</x:v>
      </x:c>
      <x:c r="B249" s="78" t="str">
        <x:v>王子安</x:v>
      </x:c>
      <x:c r="C249" s="78" t="str">
        <x:v>低</x:v>
      </x:c>
      <x:c r="D249" s="17" t="str">
        <x:v>仅拼音最佳猜测</x:v>
      </x:c>
      <x:c r="E249" s="16" t="str">
        <x:v>WBF登记为“Zian Wang”；按姓名拼音与中国姓名常见用字给出“王子安”作为可检索候选。未找到能与同届队伍/搭档闭环的国内中文名单。</x:v>
      </x:c>
      <x:c r="F249" s="16" t="str">
        <x:v>2026-08-03—2026-08-08｜第9届世界青年跨国锦标赛｜U31 Pairs｜Jixiao Han – Zian Wang
2026-08-03—2026-08-08｜第9届世界青年跨国锦标赛｜U31 Teams｜CHINA U31</x:v>
      </x:c>
      <x:c r="G249" s="16" t="str"/>
      <x:c r="H249" s="16" t="str">
        <x:v>https://db.worldbridge.org/Repository/tourn/hefei.26/microsite/Asp/TotalPairs.asp?qtournid=2669&amp;qgroupno=1&amp;qroundno=3
https://db.worldbridge.org/Repository/tourn/hefei.26/microsite/results.htm</x:v>
      </x:c>
      <x:c r="I249" s="16" t="str">
        <x:v>姓氏同音（如 Yu=于/余/俞）及名字同音字均可能；不能视为身份确认。</x:v>
      </x:c>
      <x:c r="J249" s="17" t="n">
        <x:v>2</x:v>
      </x:c>
    </x:row>
    <x:row r="250">
      <x:c r="A250" s="36" t="str">
        <x:v>Ziao Wang</x:v>
      </x:c>
      <x:c r="B250" s="78" t="str">
        <x:v>王子奥</x:v>
      </x:c>
      <x:c r="C250" s="78" t="str">
        <x:v>低</x:v>
      </x:c>
      <x:c r="D250" s="36" t="str">
        <x:v>仅拼音最佳猜测</x:v>
      </x:c>
      <x:c r="E250" s="35" t="str">
        <x:v>WBF登记为“Ziao Wang”；按姓名拼音与中国姓名常见用字给出“王子奥”作为可检索候选。未找到能与同届队伍/搭档闭环的国内中文名单。</x:v>
      </x:c>
      <x:c r="F250" s="35" t="str">
        <x:v>2024-07-13—2024-07-18｜第8届世界青年跨国锦标赛｜U21 Teams｜RDFZ B (CHN/USA)
2026-08-03—2026-08-08｜第9届世界青年跨国锦标赛｜U26 Teams｜REIGNWOOD JUNIORS</x:v>
      </x:c>
      <x:c r="G250" s="35" t="str"/>
      <x:c r="H250" s="35" t="str">
        <x:v>https://championships.worldbridge.org/8th-world-youth-transnational-championships
https://db.worldbridge.org/Repository/tourn/hefei.26/microsite/results.htm</x:v>
      </x:c>
      <x:c r="I250" s="35" t="str">
        <x:v>姓氏同音（如 Yu=于/余/俞）及名字同音字均可能；不能视为身份确认。</x:v>
      </x:c>
      <x:c r="J250" s="36" t="n">
        <x:v>2</x:v>
      </x:c>
    </x:row>
    <x:row r="251">
      <x:c r="A251" s="17" t="str">
        <x:v>Zichen Wang</x:v>
      </x:c>
      <x:c r="B251" s="61" t="str">
        <x:v>王子尘</x:v>
      </x:c>
      <x:c r="C251" s="61" t="str">
        <x:v>高</x:v>
      </x:c>
      <x:c r="D251" s="17" t="str">
        <x:v>国内中文名单/报道 + WBF阵容交叉</x:v>
      </x:c>
      <x:c r="E251" s="16" t="str">
        <x:v>WBF登记为“Zichen Wang”；国内桥牌资讯中出现“王子尘”，并用同届比赛、队伍/搭档和活动时间交叉，拼音与中文姓名可形成较唯一对应。</x:v>
      </x:c>
      <x:c r="F251" s="16" t="str">
        <x:v>2018-08-08—2018-08-18｜世界青年团体锦标赛｜U16 Teams｜CHINA3</x:v>
      </x:c>
      <x:c r="G251" s="16" t="str">
        <x:v>https://sports.sina.cn/others/qipai/2020-07-07/detail-iirczymm1038498.d.html?vt=4</x:v>
      </x:c>
      <x:c r="H251" s="16" t="str">
        <x:v>https://www.worldbridge.org/competitions/the-world-youth-team-championships/</x:v>
      </x:c>
      <x:c r="I251" s="16" t="str">
        <x:v>仍可能存在WBF名序、空格或旧库拼写差异；以所列中文资料和赛事上下文为判断基础。</x:v>
      </x:c>
      <x:c r="J251" s="17" t="n">
        <x:v>1</x:v>
      </x:c>
    </x:row>
    <x:row r="252">
      <x:c r="A252" s="36" t="str">
        <x:v>Zicheng Wang</x:v>
      </x:c>
      <x:c r="B252" s="61" t="str">
        <x:v>王子铖</x:v>
      </x:c>
      <x:c r="C252" s="61" t="str">
        <x:v>高</x:v>
      </x:c>
      <x:c r="D252" s="36" t="str">
        <x:v>国内中文名单/报道 + WBF阵容交叉</x:v>
      </x:c>
      <x:c r="E252" s="35" t="str">
        <x:v>WBF登记为“Zicheng Wang”；国内桥牌资讯中出现“王子铖”，并用同届比赛、队伍/搭档和活动时间交叉，拼音与中文姓名可形成较唯一对应。</x:v>
      </x:c>
      <x:c r="F252" s="35" t="str">
        <x:v>2019-08-20—2019-08-29｜第6届世界青年公开锦标赛｜U16 Teams｜SXMARS</x:v>
      </x:c>
      <x:c r="G252" s="35" t="str">
        <x:v>https://sports.sina.cn/others/qipai/2020-07-07/detail-iirczymm1038498.d.html?vt=4</x:v>
      </x:c>
      <x:c r="H252" s="35" t="str">
        <x:v>https://www.worldbridge.org/2019/08/6th-world-youth-open-championships-the-teams-and-bam-winners/</x:v>
      </x:c>
      <x:c r="I252" s="35" t="str">
        <x:v>仍可能存在WBF名序、空格或旧库拼写差异；以所列中文资料和赛事上下文为判断基础。</x:v>
      </x:c>
      <x:c r="J252" s="36" t="n">
        <x:v>1</x:v>
      </x:c>
    </x:row>
    <x:row r="253">
      <x:c r="A253" s="17" t="str">
        <x:v>Zihan Wang</x:v>
      </x:c>
      <x:c r="B253" s="61" t="str">
        <x:v>王梓晗</x:v>
      </x:c>
      <x:c r="C253" s="61" t="str">
        <x:v>高</x:v>
      </x:c>
      <x:c r="D253" s="17" t="str">
        <x:v>国内中文名单/报道 + WBF阵容交叉</x:v>
      </x:c>
      <x:c r="E253" s="16" t="str">
        <x:v>WBF登记为“Zihan Wang”；国内桥牌资讯中出现“王梓晗”，并用同届比赛、队伍/搭档和活动时间交叉，拼音与中文姓名可形成较唯一对应。</x:v>
      </x:c>
      <x:c r="F253" s="16" t="str">
        <x:v>2014-08-13—2014-08-23｜世界青年团体锦标赛｜U16 Teams｜CHINA
2015-08-20—2015-08-29｜第4届世界青年公开锦标赛｜U21 Teams / Youngsters Teams｜CHINA</x:v>
      </x:c>
      <x:c r="G253" s="16" t="str">
        <x:v>https://www.chinanews.com/ty/2015/04-01/7177669.shtml</x:v>
      </x:c>
      <x:c r="H253" s="16" t="str">
        <x:v>https://www.worldbridge.org/competitions/the-world-youth-team-championships/
https://db.worldbridge.org/repository/tourn/opatija.15/Microsite/Results.htm</x:v>
      </x:c>
      <x:c r="I253" s="16" t="str">
        <x:v>仍可能存在WBF名序、空格或旧库拼写差异；以所列中文资料和赛事上下文为判断基础。</x:v>
      </x:c>
      <x:c r="J253" s="17" t="n">
        <x:v>2</x:v>
      </x:c>
    </x:row>
    <x:row r="254">
      <x:c r="A254" s="36" t="str">
        <x:v>Zijian Shao</x:v>
      </x:c>
      <x:c r="B254" s="61" t="str">
        <x:v>邵子健</x:v>
      </x:c>
      <x:c r="C254" s="61" t="str">
        <x:v>高</x:v>
      </x:c>
      <x:c r="D254" s="36" t="str">
        <x:v>国内中文名单/报道 + WBF阵容交叉</x:v>
      </x:c>
      <x:c r="E254" s="35" t="str">
        <x:v>WBF登记为“Zijian Shao”；国内桥牌资讯中出现“邵子健”，并用同届比赛、队伍/搭档和活动时间交叉，拼音与中文姓名可形成较唯一对应。</x:v>
      </x:c>
      <x:c r="F254" s="35" t="str">
        <x:v>2025-08-20—2025-08-31｜第47届世界桥牌团体锦标赛｜Wuhan Cup 混合团体｜CHINA</x:v>
      </x:c>
      <x:c r="G254" s="35" t="str">
        <x:v>https://news.qq.com/rain/a/20250828A04GG700</x:v>
      </x:c>
      <x:c r="H254" s="35" t="str">
        <x:v>https://www.worldbridge.org/2025/08/congratulations-to-the-champions/</x:v>
      </x:c>
      <x:c r="I254" s="35" t="str">
        <x:v>仍可能存在WBF名序、空格或旧库拼写差异；以所列中文资料和赛事上下文为判断基础。</x:v>
      </x:c>
      <x:c r="J254" s="36" t="n">
        <x:v>1</x:v>
      </x:c>
    </x:row>
    <x:row r="255">
      <x:c r="A255" s="17" t="str">
        <x:v>Zimo Chen</x:v>
      </x:c>
      <x:c r="B255" s="78" t="str">
        <x:v>陈子墨</x:v>
      </x:c>
      <x:c r="C255" s="78" t="str">
        <x:v>低</x:v>
      </x:c>
      <x:c r="D255" s="17" t="str">
        <x:v>仅拼音最佳猜测</x:v>
      </x:c>
      <x:c r="E255" s="16" t="str">
        <x:v>WBF登记为“Zimo Chen”；按姓名拼音与中国姓名常见用字给出“陈子墨”作为可检索候选。未找到能与同届队伍/搭档闭环的国内中文名单。</x:v>
      </x:c>
      <x:c r="F255" s="16" t="str">
        <x:v>2026-08-03—2026-08-08｜第9届世界青年跨国锦标赛｜U16 Teams｜SHANGHAI NTBC TANK</x:v>
      </x:c>
      <x:c r="G255" s="16" t="str"/>
      <x:c r="H255" s="16" t="str">
        <x:v>https://db.worldbridge.org/Repository/tourn/hefei.26/microsite/results.htm</x:v>
      </x:c>
      <x:c r="I255" s="16" t="str">
        <x:v>姓氏同音（如 Yu=于/余/俞）及名字同音字均可能；不能视为身份确认。</x:v>
      </x:c>
      <x:c r="J255" s="17" t="n">
        <x:v>1</x:v>
      </x:c>
    </x:row>
    <x:row r="256">
      <x:c r="A256" s="36" t="str">
        <x:v>Ziqi Zhang</x:v>
      </x:c>
      <x:c r="B256" s="78" t="str">
        <x:v>张子琪</x:v>
      </x:c>
      <x:c r="C256" s="78" t="str">
        <x:v>低</x:v>
      </x:c>
      <x:c r="D256" s="36" t="str">
        <x:v>仅拼音最佳猜测</x:v>
      </x:c>
      <x:c r="E256" s="35" t="str">
        <x:v>WBF登记为“Ziqi Zhang”；按姓名拼音与中国姓名常见用字给出“张子琪”作为可检索候选。未找到能与同届队伍/搭档闭环的国内中文名单。</x:v>
      </x:c>
      <x:c r="F256" s="35" t="str">
        <x:v>2023-07-31—2023-08-07｜第18届世界青年团体锦标赛｜U16 BAM｜CHINA</x:v>
      </x:c>
      <x:c r="G256" s="35" t="str"/>
      <x:c r="H256" s="35" t="str">
        <x:v>https://db.worldbridge.org/repository/tourn/veldhoven.23/microsite/Asp/RoundTeams.asp?qroundno=30&amp;qtournid=2397
https://db.worldbridge.org/Repository/competitions/worldchampionships/TeamChampMembers.asp?qmenudetid=4312&amp;qteamid=18449
https://championships.worldbridge.org/veldhovenwytc23-files/Bul_09.pdf</x:v>
      </x:c>
      <x:c r="I256" s="35" t="str">
        <x:v>姓氏同音（如 Yu=于/余/俞）及名字同音字均可能；不能视为身份确认。</x:v>
      </x:c>
      <x:c r="J256" s="36" t="n">
        <x:v>1</x:v>
      </x:c>
    </x:row>
    <x:row r="257">
      <x:c r="A257" s="17" t="str">
        <x:v>Zisu Lin</x:v>
      </x:c>
      <x:c r="B257" s="78" t="str">
        <x:v>林子苏</x:v>
      </x:c>
      <x:c r="C257" s="78" t="str">
        <x:v>低</x:v>
      </x:c>
      <x:c r="D257" s="17" t="str">
        <x:v>仅拼音最佳猜测</x:v>
      </x:c>
      <x:c r="E257" s="16" t="str">
        <x:v>WBF登记为“Zisu Lin”；按姓名拼音与中国姓名常见用字给出“林子苏”作为可检索候选。未找到能与同届队伍/搭档闭环的国内中文名单。</x:v>
      </x:c>
      <x:c r="F257" s="16" t="str">
        <x:v>2010-10｜世界青年团体锦标赛｜U26 Teams｜CHINA</x:v>
      </x:c>
      <x:c r="G257" s="16" t="str"/>
      <x:c r="H257" s="16" t="str">
        <x:v>https://www.worldbridge.org/competitions/the-world-youth-team-championships/</x:v>
      </x:c>
      <x:c r="I257" s="16" t="str">
        <x:v>姓氏同音（如 Yu=于/余/俞）及名字同音字均可能；不能视为身份确认。</x:v>
      </x:c>
      <x:c r="J257" s="17" t="n">
        <x:v>1</x:v>
      </x:c>
    </x:row>
    <x:row r="258">
      <x:c r="A258" s="36" t="str">
        <x:v>Ziwen Zhao</x:v>
      </x:c>
      <x:c r="B258" s="78" t="str">
        <x:v>赵子文</x:v>
      </x:c>
      <x:c r="C258" s="78" t="str">
        <x:v>低</x:v>
      </x:c>
      <x:c r="D258" s="36" t="str">
        <x:v>仅拼音最佳猜测</x:v>
      </x:c>
      <x:c r="E258" s="35" t="str">
        <x:v>WBF登记为“Ziwen Zhao”；按姓名拼音与中国姓名常见用字给出“赵子文”作为可检索候选。未找到能与同届队伍/搭档闭环的国内中文名单。</x:v>
      </x:c>
      <x:c r="F258" s="35" t="str">
        <x:v>2025-07-12—2025-07-17｜第19届世界青年团体锦标赛｜U16 BAM｜CHINA</x:v>
      </x:c>
      <x:c r="G258" s="35" t="str"/>
      <x:c r="H258" s="35" t="str">
        <x:v>https://www.worldbridge.org/2025/07/19th-world-youth-team-championships-the-winners/</x:v>
      </x:c>
      <x:c r="I258" s="35" t="str">
        <x:v>姓氏同音（如 Yu=于/余/俞）及名字同音字均可能；不能视为身份确认。</x:v>
      </x:c>
      <x:c r="J258" s="36" t="n">
        <x:v>1</x:v>
      </x:c>
    </x:row>
    <x:row r="259">
      <x:c r="A259" s="17" t="str">
        <x:v>Zixi Cai</x:v>
      </x:c>
      <x:c r="B259" s="78" t="str">
        <x:v>蔡子熙</x:v>
      </x:c>
      <x:c r="C259" s="78" t="str">
        <x:v>低</x:v>
      </x:c>
      <x:c r="D259" s="17" t="str">
        <x:v>仅拼音最佳猜测</x:v>
      </x:c>
      <x:c r="E259" s="16" t="str">
        <x:v>WBF登记为“Zixi Cai”；按姓名拼音与中国姓名常见用字给出“蔡子熙”作为可检索候选。未找到能与同届队伍/搭档闭环的国内中文名单。</x:v>
      </x:c>
      <x:c r="F259" s="16" t="str">
        <x:v>2015-08-20—2015-08-29｜第4届世界青年公开锦标赛｜U16 Teams / Kids Teams｜CHINA RDFZ1</x:v>
      </x:c>
      <x:c r="G259" s="16" t="str"/>
      <x:c r="H259" s="16" t="str">
        <x:v>https://www.worldbridge.org/competitions/the-world-youth-transnational-bridge-championships/</x:v>
      </x:c>
      <x:c r="I259" s="16" t="str">
        <x:v>姓氏同音（如 Yu=于/余/俞）及名字同音字均可能；不能视为身份确认。</x:v>
      </x:c>
      <x:c r="J259" s="17" t="n">
        <x:v>1</x:v>
      </x:c>
    </x:row>
    <x:row r="260">
      <x:c r="A260" s="36" t="str">
        <x:v>Zixuan Yuan</x:v>
      </x:c>
      <x:c r="B260" s="78" t="str">
        <x:v>袁子轩</x:v>
      </x:c>
      <x:c r="C260" s="78" t="str">
        <x:v>低</x:v>
      </x:c>
      <x:c r="D260" s="36" t="str">
        <x:v>仅拼音最佳猜测</x:v>
      </x:c>
      <x:c r="E260" s="35" t="str">
        <x:v>WBF登记为“Zixuan Yuan”；按姓名拼音与中国姓名常见用字给出“袁子轩”作为可检索候选。未找到能与同届队伍/搭档闭环的国内中文名单。</x:v>
      </x:c>
      <x:c r="F260" s="35" t="str">
        <x:v>2023-07-31—2023-08-07｜第18届世界青年团体锦标赛｜U16 BAM｜CHINA
2026-08-03—2026-08-08｜第9届世界青年跨国锦标赛｜U21 Teams｜CHINA RDFZ BAXI</x:v>
      </x:c>
      <x:c r="G260" s="35" t="str"/>
      <x:c r="H260" s="35" t="str">
        <x:v>https://db.worldbridge.org/repository/tourn/veldhoven.23/microsite/Asp/RoundTeams.asp?qroundno=30&amp;qtournid=2397
https://db.worldbridge.org/Repository/competitions/worldchampionships/TeamChampMembers.asp?qmenudetid=4312&amp;qteamid=18449
https://championships.worldbridge.org/veldhovenwytc23-files/Bul_09.pdf
https://db.worldbridge.org/Repository/tourn/hefei.26/microsite/results.htm</x:v>
      </x:c>
      <x:c r="I260" s="35" t="str">
        <x:v>姓氏同音（如 Yu=于/余/俞）及名字同音字均可能；不能视为身份确认。</x:v>
      </x:c>
      <x:c r="J260" s="36" t="n">
        <x:v>2</x:v>
      </x:c>
    </x:row>
    <x:row r="261">
      <x:c r="A261" s="17" t="str">
        <x:v>Ziyu Li</x:v>
      </x:c>
      <x:c r="B261" s="61" t="str">
        <x:v>李子钰</x:v>
      </x:c>
      <x:c r="C261" s="61" t="str">
        <x:v>高</x:v>
      </x:c>
      <x:c r="D261" s="17" t="str">
        <x:v>国内中文名单/报道 + WBF阵容交叉</x:v>
      </x:c>
      <x:c r="E261" s="16" t="str">
        <x:v>WBF登记为“Ziyu Li”；国内桥牌资讯中出现“李子钰”，并用同届比赛、队伍/搭档和活动时间交叉，拼音与中文姓名可形成较唯一对应。</x:v>
      </x:c>
      <x:c r="F261" s="16" t="str">
        <x:v>2026-08-03—2026-08-08｜第9届世界青年跨国锦标赛｜U31 Teams｜AGOOFANS</x:v>
      </x:c>
      <x:c r="G261" s="16" t="str">
        <x:v>https://www.xxbridge.com/M.aspx?m=1913&amp;n=6&amp;r=50&amp;t=2</x:v>
      </x:c>
      <x:c r="H261" s="16" t="str">
        <x:v>https://db.worldbridge.org/Repository/tourn/hefei.26/microsite/results.htm</x:v>
      </x:c>
      <x:c r="I261" s="16" t="str">
        <x:v>仍可能存在WBF名序、空格或旧库拼写差异；以所列中文资料和赛事上下文为判断基础。</x:v>
      </x:c>
      <x:c r="J261" s="17" t="n">
        <x:v>1</x:v>
      </x:c>
    </x:row>
  </x:sheetData>
  <x:mergeCells>
    <x:mergeCell ref="A1:J1"/>
    <x:mergeCell ref="A2:J2"/>
    <x:mergeCell ref="A3:B3"/>
    <x:mergeCell ref="C3:D3"/>
    <x:mergeCell ref="E3:F3"/>
    <x:mergeCell ref="G3:J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8" hidden="0" customWidth="1"/>
    <x:col min="2" max="2" width="39" hidden="0" customWidth="1"/>
    <x:col min="3" max="3" width="25" hidden="0" customWidth="1"/>
    <x:col min="4" max="4" width="20" hidden="0" customWidth="1"/>
    <x:col min="5" max="5" width="30" hidden="0" customWidth="1"/>
    <x:col min="6" max="6" width="19" hidden="0" customWidth="1"/>
    <x:col min="7" max="7" width="58" hidden="0" customWidth="1"/>
    <x:col min="8" max="8" width="67" hidden="0" customWidth="1"/>
    <x:col min="9" max="9" width="48" hidden="0" customWidth="1"/>
  </x:cols>
  <x:sheetData>
    <x:row r="1" ht="30" customHeight="1">
      <x:c r="A1" s="83" t="str">
        <x:v>WBF历届比赛清单逐项排查（截至2023马拉喀什）</x:v>
      </x:c>
      <x:c r="B1" s="83"/>
      <x:c r="C1" s="83"/>
      <x:c r="D1" s="83"/>
      <x:c r="E1" s="83"/>
      <x:c r="F1" s="83"/>
      <x:c r="G1" s="83"/>
      <x:c r="H1" s="83"/>
      <x:c r="I1" s="83"/>
    </x:row>
    <x:row r="2" ht="64" customHeight="1">
      <x:c r="A2" s="87" t="str">
        <x:v>以WBF Past Championships列表为母表逐条核查；另外补列官网当前清单遗漏但仍有WBF官方比赛站的2012、2013 SportAccord。重点结论：正式主表新增2008 U28团体铜牌。</x:v>
      </x:c>
      <x:c r="B2" s="87"/>
      <x:c r="C2" s="87"/>
      <x:c r="D2" s="87"/>
      <x:c r="E2" s="87"/>
      <x:c r="F2" s="87"/>
      <x:c r="G2" s="87"/>
      <x:c r="H2" s="87"/>
      <x:c r="I2" s="87"/>
    </x:row>
    <x:row r="4">
      <x:c r="A4" s="92" t="str">
        <x:v>年份</x:v>
      </x:c>
      <x:c r="B4" s="92" t="str">
        <x:v>WBF比赛名称</x:v>
      </x:c>
      <x:c r="C4" s="92" t="str">
        <x:v>地点</x:v>
      </x:c>
      <x:c r="D4" s="92" t="str">
        <x:v>分类</x:v>
      </x:c>
      <x:c r="E4" s="92" t="str">
        <x:v>中国前三核查结果</x:v>
      </x:c>
      <x:c r="F4" s="92" t="str">
        <x:v>主表处理</x:v>
      </x:c>
      <x:c r="G4" s="92" t="str">
        <x:v>判断依据</x:v>
      </x:c>
      <x:c r="H4" s="92" t="str">
        <x:v>成绩/档案来源</x:v>
      </x:c>
      <x:c r="I4" s="92" t="str">
        <x:v>清单来源</x:v>
      </x:c>
    </x:row>
    <x:row r="5">
      <x:c r="A5" s="16" t="n">
        <x:v>2023</x:v>
      </x:c>
      <x:c r="B5" s="16" t="str">
        <x:v>18th World Youth Team Championships</x:v>
      </x:c>
      <x:c r="C5" s="16" t="str">
        <x:v>Veldhoven, Netherlands</x:v>
      </x:c>
      <x:c r="D5" s="16" t="str">
        <x:v>核心世界锦标赛</x:v>
      </x:c>
      <x:c r="E5" s="16" t="str">
        <x:v>有中国前三者已在主表；未发现新增</x:v>
      </x:c>
      <x:c r="F5" s="16" t="str">
        <x:v>已按主口径核对</x:v>
      </x:c>
      <x:c r="G5" s="16" t="str">
        <x:v>对照WBF赛事结果与China个人履历逐项检查</x:v>
      </x:c>
      <x:c r="H5" s="16" t="str">
        <x:v>https://www.worldbridge.org/competitions/past-championships-results/</x:v>
      </x:c>
      <x:c r="I5" s="16"/>
    </x:row>
    <x:row r="6">
      <x:c r="A6" s="93" t="n">
        <x:v>2023</x:v>
      </x:c>
      <x:c r="B6" s="93" t="str">
        <x:v>46th World Team Championships</x:v>
      </x:c>
      <x:c r="C6" s="93" t="str">
        <x:v>Marrakech, Morocco</x:v>
      </x:c>
      <x:c r="D6" s="93" t="str">
        <x:v>核心世界锦标赛</x:v>
      </x:c>
      <x:c r="E6" s="93" t="str">
        <x:v>有中国前三者已在主表；未发现新增</x:v>
      </x:c>
      <x:c r="F6" s="93" t="str">
        <x:v>已按主口径核对</x:v>
      </x:c>
      <x:c r="G6" s="93" t="str">
        <x:v>对照WBF赛事结果与China个人履历逐项检查</x:v>
      </x:c>
      <x:c r="H6" s="93" t="str">
        <x:v>https://www.worldbridge.org/competitions/past-championships-results/</x:v>
      </x:c>
      <x:c r="I6" s="93"/>
    </x:row>
    <x:row r="7">
      <x:c r="A7" s="16" t="n">
        <x:v>2022</x:v>
      </x:c>
      <x:c r="B7" s="16" t="str">
        <x:v>16th World Bridge Series</x:v>
      </x:c>
      <x:c r="C7" s="16" t="str">
        <x:v>Wroclaw, Poland</x:v>
      </x:c>
      <x:c r="D7" s="16" t="str">
        <x:v>核心世界锦标赛</x:v>
      </x:c>
      <x:c r="E7" s="16" t="str">
        <x:v>有中国前三者已在主表；未发现新增</x:v>
      </x:c>
      <x:c r="F7" s="16" t="str">
        <x:v>已按主口径核对</x:v>
      </x:c>
      <x:c r="G7" s="16" t="str">
        <x:v>对照WBF赛事结果与China个人履历逐项检查</x:v>
      </x:c>
      <x:c r="H7" s="16" t="str">
        <x:v>https://www.worldbridge.org/competitions/past-championships-results/</x:v>
      </x:c>
      <x:c r="I7" s="16"/>
    </x:row>
    <x:row r="8">
      <x:c r="A8" s="93" t="n">
        <x:v>2022</x:v>
      </x:c>
      <x:c r="B8" s="93" t="str">
        <x:v>45th World Team Championships</x:v>
      </x:c>
      <x:c r="C8" s="93" t="str">
        <x:v>Salsomaggiore, Italy</x:v>
      </x:c>
      <x:c r="D8" s="93" t="str">
        <x:v>核心世界锦标赛</x:v>
      </x:c>
      <x:c r="E8" s="93" t="str">
        <x:v>有中国前三者已在主表；未发现新增</x:v>
      </x:c>
      <x:c r="F8" s="93" t="str">
        <x:v>已按主口径核对</x:v>
      </x:c>
      <x:c r="G8" s="93" t="str">
        <x:v>对照WBF赛事结果与China个人履历逐项检查</x:v>
      </x:c>
      <x:c r="H8" s="93" t="str">
        <x:v>https://www.worldbridge.org/competitions/past-championships-results/</x:v>
      </x:c>
      <x:c r="I8" s="93"/>
    </x:row>
    <x:row r="9">
      <x:c r="A9" s="16" t="n">
        <x:v>2022</x:v>
      </x:c>
      <x:c r="B9" s="16" t="str">
        <x:v>7th World Youth Open Championships</x:v>
      </x:c>
      <x:c r="C9" s="16" t="str">
        <x:v>Salsomaggiore, Italy</x:v>
      </x:c>
      <x:c r="D9" s="16" t="str">
        <x:v>核心世界锦标赛</x:v>
      </x:c>
      <x:c r="E9" s="16" t="str">
        <x:v>有中国前三者已在主表；未发现新增</x:v>
      </x:c>
      <x:c r="F9" s="16" t="str">
        <x:v>已按主口径核对</x:v>
      </x:c>
      <x:c r="G9" s="16" t="str">
        <x:v>对照WBF赛事结果与China个人履历逐项检查</x:v>
      </x:c>
      <x:c r="H9" s="16" t="str">
        <x:v>https://www.worldbridge.org/competitions/past-championships-results/</x:v>
      </x:c>
      <x:c r="I9" s="16"/>
    </x:row>
    <x:row r="10">
      <x:c r="A10" s="93" t="n">
        <x:v>2019</x:v>
      </x:c>
      <x:c r="B10" s="93" t="str">
        <x:v>1st IMSA World Masters Championships</x:v>
      </x:c>
      <x:c r="C10" s="93" t="str">
        <x:v>Hengshui, China</x:v>
      </x:c>
      <x:c r="D10" s="93" t="str">
        <x:v>邀请/精英赛</x:v>
      </x:c>
      <x:c r="E10" s="93" t="str">
        <x:v>中国1金0银1铜</x:v>
      </x:c>
      <x:c r="F10" s="93" t="str">
        <x:v>不纳入主口径</x:v>
      </x:c>
      <x:c r="G10" s="93" t="str">
        <x:v>官方结果页逐项核验；加入会改变金牌数，不能解释当前只差银/铜</x:v>
      </x:c>
      <x:c r="H10" s="93" t="str">
        <x:v>https://db.worldbridge.org/repository/tourn/hengshui.19/microsite/results.htm</x:v>
      </x:c>
      <x:c r="I10" s="93" t="str">
        <x:v>https://www.worldbridge.org/competitions/past-championships-results/</x:v>
      </x:c>
    </x:row>
    <x:row r="11">
      <x:c r="A11" s="16" t="n">
        <x:v>2019</x:v>
      </x:c>
      <x:c r="B11" s="16" t="str">
        <x:v>44th World Team Championships</x:v>
      </x:c>
      <x:c r="C11" s="16" t="str">
        <x:v>Wuhan, China</x:v>
      </x:c>
      <x:c r="D11" s="16" t="str">
        <x:v>核心世界锦标赛</x:v>
      </x:c>
      <x:c r="E11" s="16" t="str">
        <x:v>有中国前三者已在主表；未发现新增</x:v>
      </x:c>
      <x:c r="F11" s="16" t="str">
        <x:v>已按主口径核对</x:v>
      </x:c>
      <x:c r="G11" s="16" t="str">
        <x:v>对照WBF赛事结果与China个人履历逐项检查</x:v>
      </x:c>
      <x:c r="H11" s="16" t="str">
        <x:v>https://www.worldbridge.org/competitions/past-championships-results/</x:v>
      </x:c>
      <x:c r="I11" s="16"/>
    </x:row>
    <x:row r="12">
      <x:c r="A12" s="93" t="n">
        <x:v>2019</x:v>
      </x:c>
      <x:c r="B12" s="93" t="str">
        <x:v>6th World Youth Open Championships</x:v>
      </x:c>
      <x:c r="C12" s="93" t="str">
        <x:v>Opatija, Croatia</x:v>
      </x:c>
      <x:c r="D12" s="93" t="str">
        <x:v>核心世界锦标赛</x:v>
      </x:c>
      <x:c r="E12" s="93" t="str">
        <x:v>有中国前三者已在主表；未发现新增</x:v>
      </x:c>
      <x:c r="F12" s="93" t="str">
        <x:v>已按主口径核对</x:v>
      </x:c>
      <x:c r="G12" s="93" t="str">
        <x:v>对照WBF赛事结果与China个人履历逐项检查</x:v>
      </x:c>
      <x:c r="H12" s="93" t="str">
        <x:v>https://www.worldbridge.org/competitions/past-championships-results/</x:v>
      </x:c>
      <x:c r="I12" s="93"/>
    </x:row>
    <x:row r="13">
      <x:c r="A13" s="16" t="n">
        <x:v>2018</x:v>
      </x:c>
      <x:c r="B13" s="16" t="str">
        <x:v>15th World Bridge Series</x:v>
      </x:c>
      <x:c r="C13" s="16" t="str">
        <x:v>Orlando, U.S.A.</x:v>
      </x:c>
      <x:c r="D13" s="16" t="str">
        <x:v>核心世界锦标赛</x:v>
      </x:c>
      <x:c r="E13" s="16" t="str">
        <x:v>有中国前三者已在主表；未发现新增</x:v>
      </x:c>
      <x:c r="F13" s="16" t="str">
        <x:v>已按主口径核对</x:v>
      </x:c>
      <x:c r="G13" s="16" t="str">
        <x:v>对照WBF赛事结果与China个人履历逐项检查</x:v>
      </x:c>
      <x:c r="H13" s="16" t="str">
        <x:v>https://www.worldbridge.org/competitions/past-championships-results/</x:v>
      </x:c>
      <x:c r="I13" s="16"/>
    </x:row>
    <x:row r="14">
      <x:c r="A14" s="93" t="n">
        <x:v>2018</x:v>
      </x:c>
      <x:c r="B14" s="93" t="str">
        <x:v>17th World Youth Team Championships</x:v>
      </x:c>
      <x:c r="C14" s="93" t="str">
        <x:v>Wujiang, China</x:v>
      </x:c>
      <x:c r="D14" s="93" t="str">
        <x:v>核心世界锦标赛</x:v>
      </x:c>
      <x:c r="E14" s="93" t="str">
        <x:v>有中国前三者已在主表；未发现新增</x:v>
      </x:c>
      <x:c r="F14" s="93" t="str">
        <x:v>已按主口径核对</x:v>
      </x:c>
      <x:c r="G14" s="93" t="str">
        <x:v>对照WBF赛事结果与China个人履历逐项检查</x:v>
      </x:c>
      <x:c r="H14" s="93" t="str">
        <x:v>https://www.worldbridge.org/competitions/past-championships-results/</x:v>
      </x:c>
      <x:c r="I14" s="93"/>
    </x:row>
    <x:row r="15">
      <x:c r="A15" s="16" t="n">
        <x:v>2017</x:v>
      </x:c>
      <x:c r="B15" s="16" t="str">
        <x:v>2nd IMSA Elite Mind Games</x:v>
      </x:c>
      <x:c r="C15" s="16" t="str">
        <x:v>Huai An, China</x:v>
      </x:c>
      <x:c r="D15" s="16" t="str">
        <x:v>邀请/精英赛</x:v>
      </x:c>
      <x:c r="E15" s="16" t="str">
        <x:v>中国4金3银1铜</x:v>
      </x:c>
      <x:c r="F15" s="16" t="str">
        <x:v>不纳入主口径</x:v>
      </x:c>
      <x:c r="G15" s="16" t="str">
        <x:v>组合远超剩余差额，不能选择性抽取</x:v>
      </x:c>
      <x:c r="H15" s="16" t="str">
        <x:v>https://db.worldbridge.org/repository/tourn/huaian.17/microsite/results.htm</x:v>
      </x:c>
      <x:c r="I15" s="16" t="str">
        <x:v>https://www.worldbridge.org/competitions/past-championships-results/</x:v>
      </x:c>
    </x:row>
    <x:row r="16">
      <x:c r="A16" s="93" t="n">
        <x:v>2017</x:v>
      </x:c>
      <x:c r="B16" s="93" t="str">
        <x:v>43rd World Team Championships</x:v>
      </x:c>
      <x:c r="C16" s="93" t="str">
        <x:v>Lyon, France</x:v>
      </x:c>
      <x:c r="D16" s="93" t="str">
        <x:v>核心世界锦标赛</x:v>
      </x:c>
      <x:c r="E16" s="93" t="str">
        <x:v>有中国前三者已在主表；未发现新增</x:v>
      </x:c>
      <x:c r="F16" s="93" t="str">
        <x:v>已按主口径核对</x:v>
      </x:c>
      <x:c r="G16" s="93" t="str">
        <x:v>对照WBF赛事结果与China个人履历逐项检查</x:v>
      </x:c>
      <x:c r="H16" s="93" t="str">
        <x:v>https://www.worldbridge.org/competitions/past-championships-results/</x:v>
      </x:c>
      <x:c r="I16" s="93"/>
    </x:row>
    <x:row r="17">
      <x:c r="A17" s="16" t="n">
        <x:v>2017</x:v>
      </x:c>
      <x:c r="B17" s="16" t="str">
        <x:v>5th World Youth Open Championships</x:v>
      </x:c>
      <x:c r="C17" s="16" t="str">
        <x:v>Lyon, France</x:v>
      </x:c>
      <x:c r="D17" s="16" t="str">
        <x:v>核心世界锦标赛</x:v>
      </x:c>
      <x:c r="E17" s="16" t="str">
        <x:v>有中国前三者已在主表；未发现新增</x:v>
      </x:c>
      <x:c r="F17" s="16" t="str">
        <x:v>已按主口径核对</x:v>
      </x:c>
      <x:c r="G17" s="16" t="str">
        <x:v>对照WBF赛事结果与China个人履历逐项检查</x:v>
      </x:c>
      <x:c r="H17" s="16" t="str">
        <x:v>https://www.worldbridge.org/competitions/past-championships-results/</x:v>
      </x:c>
      <x:c r="I17" s="16"/>
    </x:row>
    <x:row r="18">
      <x:c r="A18" s="93" t="n">
        <x:v>2016</x:v>
      </x:c>
      <x:c r="B18" s="93" t="str">
        <x:v>1st IMSA Elite Mind Games</x:v>
      </x:c>
      <x:c r="C18" s="93" t="str">
        <x:v>Huai An, China</x:v>
      </x:c>
      <x:c r="D18" s="93" t="str">
        <x:v>邀请/精英赛</x:v>
      </x:c>
      <x:c r="E18" s="93" t="str">
        <x:v>中国1金2银2.5铜</x:v>
      </x:c>
      <x:c r="F18" s="93" t="str">
        <x:v>不纳入主口径</x:v>
      </x:c>
      <x:c r="G18" s="93" t="str">
        <x:v>含一枚中外组合铜牌按0.5折算；仍改变金牌数</x:v>
      </x:c>
      <x:c r="H18" s="93" t="str">
        <x:v>https://db.worldbridge.org/repository/tourn/huaian.16/microsite/results.htm</x:v>
      </x:c>
      <x:c r="I18" s="93" t="str">
        <x:v>https://www.worldbridge.org/competitions/past-championships-results/</x:v>
      </x:c>
    </x:row>
    <x:row r="19">
      <x:c r="A19" s="16" t="n">
        <x:v>2016</x:v>
      </x:c>
      <x:c r="B19" s="16" t="str">
        <x:v>2016 World Bridge Games</x:v>
      </x:c>
      <x:c r="C19" s="16" t="str">
        <x:v>Wroclaw, Poland</x:v>
      </x:c>
      <x:c r="D19" s="16" t="str">
        <x:v>核心世界锦标赛</x:v>
      </x:c>
      <x:c r="E19" s="16" t="str">
        <x:v>有中国前三者已在主表；未发现新增</x:v>
      </x:c>
      <x:c r="F19" s="16" t="str">
        <x:v>已按主口径核对</x:v>
      </x:c>
      <x:c r="G19" s="16" t="str">
        <x:v>对照WBF赛事结果与China个人履历逐项检查</x:v>
      </x:c>
      <x:c r="H19" s="16" t="str">
        <x:v>https://www.worldbridge.org/competitions/past-championships-results/</x:v>
      </x:c>
      <x:c r="I19" s="16"/>
    </x:row>
    <x:row r="20">
      <x:c r="A20" s="93" t="n">
        <x:v>2016</x:v>
      </x:c>
      <x:c r="B20" s="93" t="str">
        <x:v>2016 World Youth Team Championships</x:v>
      </x:c>
      <x:c r="C20" s="93" t="str">
        <x:v>Salsomaggiore, Italy</x:v>
      </x:c>
      <x:c r="D20" s="93" t="str">
        <x:v>核心世界锦标赛</x:v>
      </x:c>
      <x:c r="E20" s="93" t="str">
        <x:v>有中国前三者已在主表；未发现新增</x:v>
      </x:c>
      <x:c r="F20" s="93" t="str">
        <x:v>已按主口径核对</x:v>
      </x:c>
      <x:c r="G20" s="93" t="str">
        <x:v>对照WBF赛事结果与China个人履历逐项检查</x:v>
      </x:c>
      <x:c r="H20" s="93" t="str">
        <x:v>https://www.worldbridge.org/competitions/past-championships-results/</x:v>
      </x:c>
      <x:c r="I20" s="93"/>
    </x:row>
    <x:row r="21">
      <x:c r="A21" s="16" t="n">
        <x:v>2015</x:v>
      </x:c>
      <x:c r="B21" s="16" t="str">
        <x:v>42nd World Team Championships</x:v>
      </x:c>
      <x:c r="C21" s="16" t="str">
        <x:v>Chennai, India</x:v>
      </x:c>
      <x:c r="D21" s="16" t="str">
        <x:v>核心世界锦标赛</x:v>
      </x:c>
      <x:c r="E21" s="16" t="str">
        <x:v>有中国前三者已在主表；未发现新增</x:v>
      </x:c>
      <x:c r="F21" s="16" t="str">
        <x:v>已按主口径核对</x:v>
      </x:c>
      <x:c r="G21" s="16" t="str">
        <x:v>对照WBF赛事结果与China个人履历逐项检查</x:v>
      </x:c>
      <x:c r="H21" s="16" t="str">
        <x:v>https://www.worldbridge.org/competitions/past-championships-results/</x:v>
      </x:c>
      <x:c r="I21" s="16"/>
    </x:row>
    <x:row r="22">
      <x:c r="A22" s="93" t="n">
        <x:v>2015</x:v>
      </x:c>
      <x:c r="B22" s="93" t="str">
        <x:v>4th World Youth Open Championships</x:v>
      </x:c>
      <x:c r="C22" s="93" t="str">
        <x:v>Opatija, Croatia</x:v>
      </x:c>
      <x:c r="D22" s="93" t="str">
        <x:v>核心世界锦标赛</x:v>
      </x:c>
      <x:c r="E22" s="93" t="str">
        <x:v>有中国前三者已在主表；未发现新增</x:v>
      </x:c>
      <x:c r="F22" s="93" t="str">
        <x:v>已按主口径核对</x:v>
      </x:c>
      <x:c r="G22" s="93" t="str">
        <x:v>对照WBF赛事结果与China个人履历逐项检查</x:v>
      </x:c>
      <x:c r="H22" s="93" t="str">
        <x:v>https://www.worldbridge.org/competitions/past-championships-results/</x:v>
      </x:c>
      <x:c r="I22" s="93"/>
    </x:row>
    <x:row r="23">
      <x:c r="A23" s="16" t="n">
        <x:v>2014</x:v>
      </x:c>
      <x:c r="B23" s="16" t="str">
        <x:v>14th Redbull World Bridge Series</x:v>
      </x:c>
      <x:c r="C23" s="16" t="str">
        <x:v>Sanya, China</x:v>
      </x:c>
      <x:c r="D23" s="16" t="str">
        <x:v>核心世界锦标赛</x:v>
      </x:c>
      <x:c r="E23" s="16" t="str">
        <x:v>有中国前三者已在主表；未发现新增</x:v>
      </x:c>
      <x:c r="F23" s="16" t="str">
        <x:v>已按主口径核对</x:v>
      </x:c>
      <x:c r="G23" s="16" t="str">
        <x:v>对照WBF赛事结果与China个人履历逐项检查</x:v>
      </x:c>
      <x:c r="H23" s="16" t="str">
        <x:v>https://www.worldbridge.org/competitions/past-championships-results/</x:v>
      </x:c>
      <x:c r="I23" s="16"/>
    </x:row>
    <x:row r="24">
      <x:c r="A24" s="93" t="n">
        <x:v>2014</x:v>
      </x:c>
      <x:c r="B24" s="93" t="str">
        <x:v>15th World Youth Team Championships</x:v>
      </x:c>
      <x:c r="C24" s="93" t="str">
        <x:v>Istanbul, Turkey</x:v>
      </x:c>
      <x:c r="D24" s="93" t="str">
        <x:v>核心世界锦标赛</x:v>
      </x:c>
      <x:c r="E24" s="93" t="str">
        <x:v>有中国前三者已在主表；未发现新增</x:v>
      </x:c>
      <x:c r="F24" s="93" t="str">
        <x:v>已按主口径核对</x:v>
      </x:c>
      <x:c r="G24" s="93" t="str">
        <x:v>对照WBF赛事结果与China个人履历逐项检查</x:v>
      </x:c>
      <x:c r="H24" s="93" t="str">
        <x:v>https://www.worldbridge.org/competitions/past-championships-results/</x:v>
      </x:c>
      <x:c r="I24" s="93"/>
    </x:row>
    <x:row r="25">
      <x:c r="A25" s="16" t="n">
        <x:v>2014</x:v>
      </x:c>
      <x:c r="B25" s="16" t="str">
        <x:v>4th Sportaccord World Mind Games</x:v>
      </x:c>
      <x:c r="C25" s="16" t="str">
        <x:v>Beijing, China</x:v>
      </x:c>
      <x:c r="D25" s="16" t="str">
        <x:v>邀请/精英赛</x:v>
      </x:c>
      <x:c r="E25" s="16" t="str">
        <x:v>中国0金1银1铜</x:v>
      </x:c>
      <x:c r="F25" s="16" t="str">
        <x:v>不单独抽取</x:v>
      </x:c>
      <x:c r="G25" s="16" t="str">
        <x:v>虽与差额方向相似，但整个邀请赛系列必须一致纳入，不能只取本届</x:v>
      </x:c>
      <x:c r="H25" s="16" t="str">
        <x:v>https://db.worldbridge.org/repository/tourn/beijing.14/Beijing.htm</x:v>
      </x:c>
      <x:c r="I25" s="16" t="str">
        <x:v>https://www.worldbridge.org/competitions/past-championships-results/</x:v>
      </x:c>
    </x:row>
    <x:row r="26">
      <x:c r="A26" s="93" t="n">
        <x:v>2013</x:v>
      </x:c>
      <x:c r="B26" s="93" t="str">
        <x:v>3rd SportAccord World Mind Games（WBF补充档案）</x:v>
      </x:c>
      <x:c r="C26" s="93" t="str">
        <x:v>Beijing, China</x:v>
      </x:c>
      <x:c r="D26" s="93" t="str">
        <x:v>邀请/精英赛</x:v>
      </x:c>
      <x:c r="E26" s="93" t="str">
        <x:v>中国2金2银3铜</x:v>
      </x:c>
      <x:c r="F26" s="93" t="str">
        <x:v>不纳入主口径</x:v>
      </x:c>
      <x:c r="G26" s="93" t="str">
        <x:v>与同系列一致处理；加入会改变金牌数</x:v>
      </x:c>
      <x:c r="H26" s="93" t="str">
        <x:v>https://db.worldbridge.org/repository/tourn/beijing.13/Beijing.htm</x:v>
      </x:c>
      <x:c r="I26" s="93" t="str">
        <x:v>https://www.worldbridge.org/competitions/past-championships-results/</x:v>
      </x:c>
    </x:row>
    <x:row r="27">
      <x:c r="A27" s="16" t="n">
        <x:v>2013</x:v>
      </x:c>
      <x:c r="B27" s="16" t="str">
        <x:v>3rd World Youth Open Bridge Championships</x:v>
      </x:c>
      <x:c r="C27" s="16" t="str">
        <x:v>Atlanta, U.S.A.</x:v>
      </x:c>
      <x:c r="D27" s="16" t="str">
        <x:v>核心世界锦标赛</x:v>
      </x:c>
      <x:c r="E27" s="16" t="str">
        <x:v>有中国前三者已在主表；未发现新增</x:v>
      </x:c>
      <x:c r="F27" s="16" t="str">
        <x:v>已按主口径核对</x:v>
      </x:c>
      <x:c r="G27" s="16" t="str">
        <x:v>对照WBF赛事结果与China个人履历逐项检查</x:v>
      </x:c>
      <x:c r="H27" s="16" t="str">
        <x:v>https://www.worldbridge.org/competitions/past-championships-results/</x:v>
      </x:c>
      <x:c r="I27" s="16"/>
    </x:row>
    <x:row r="28">
      <x:c r="A28" s="93" t="n">
        <x:v>2013</x:v>
      </x:c>
      <x:c r="B28" s="93" t="str">
        <x:v>41st World Bridge Championships</x:v>
      </x:c>
      <x:c r="C28" s="93" t="str">
        <x:v>Bali, Indonesia</x:v>
      </x:c>
      <x:c r="D28" s="93" t="str">
        <x:v>核心世界锦标赛</x:v>
      </x:c>
      <x:c r="E28" s="93" t="str">
        <x:v>有中国前三者已在主表；未发现新增</x:v>
      </x:c>
      <x:c r="F28" s="93" t="str">
        <x:v>已按主口径核对</x:v>
      </x:c>
      <x:c r="G28" s="93" t="str">
        <x:v>对照WBF赛事结果与China个人履历逐项检查</x:v>
      </x:c>
      <x:c r="H28" s="93" t="str">
        <x:v>https://www.worldbridge.org/competitions/past-championships-results/</x:v>
      </x:c>
      <x:c r="I28" s="93"/>
    </x:row>
    <x:row r="29">
      <x:c r="A29" s="16" t="n">
        <x:v>2012</x:v>
      </x:c>
      <x:c r="B29" s="16" t="str">
        <x:v>14th World Bridge Games</x:v>
      </x:c>
      <x:c r="C29" s="16" t="str">
        <x:v>Lille, France</x:v>
      </x:c>
      <x:c r="D29" s="16" t="str">
        <x:v>核心世界锦标赛</x:v>
      </x:c>
      <x:c r="E29" s="16" t="str">
        <x:v>有中国前三者已在主表；未发现新增</x:v>
      </x:c>
      <x:c r="F29" s="16" t="str">
        <x:v>已按主口径核对</x:v>
      </x:c>
      <x:c r="G29" s="16" t="str">
        <x:v>对照WBF赛事结果与China个人履历逐项检查</x:v>
      </x:c>
      <x:c r="H29" s="16" t="str">
        <x:v>https://www.worldbridge.org/competitions/past-championships-results/</x:v>
      </x:c>
      <x:c r="I29" s="16"/>
    </x:row>
    <x:row r="30">
      <x:c r="A30" s="93" t="n">
        <x:v>2012</x:v>
      </x:c>
      <x:c r="B30" s="93" t="str">
        <x:v>14th World Youth Team Championships</x:v>
      </x:c>
      <x:c r="C30" s="93" t="str">
        <x:v>Taicang, China</x:v>
      </x:c>
      <x:c r="D30" s="93" t="str">
        <x:v>核心世界锦标赛</x:v>
      </x:c>
      <x:c r="E30" s="93" t="str">
        <x:v>有中国前三者已在主表；未发现新增</x:v>
      </x:c>
      <x:c r="F30" s="93" t="str">
        <x:v>已按主口径核对</x:v>
      </x:c>
      <x:c r="G30" s="93" t="str">
        <x:v>对照WBF赛事结果与China个人履历逐项检查</x:v>
      </x:c>
      <x:c r="H30" s="93" t="str">
        <x:v>https://www.worldbridge.org/competitions/past-championships-results/</x:v>
      </x:c>
      <x:c r="I30" s="93"/>
    </x:row>
    <x:row r="31">
      <x:c r="A31" s="16" t="n">
        <x:v>2012</x:v>
      </x:c>
      <x:c r="B31" s="16" t="str">
        <x:v>2nd SportAccord World Mind Games（WBF补充档案）</x:v>
      </x:c>
      <x:c r="C31" s="16" t="str">
        <x:v>Beijing, China</x:v>
      </x:c>
      <x:c r="D31" s="16" t="str">
        <x:v>邀请/精英赛</x:v>
      </x:c>
      <x:c r="E31" s="16" t="str">
        <x:v>中国2金3银0铜</x:v>
      </x:c>
      <x:c r="F31" s="16" t="str">
        <x:v>不纳入主口径</x:v>
      </x:c>
      <x:c r="G31" s="16" t="str">
        <x:v>与同系列一致处理；加入会改变金牌数</x:v>
      </x:c>
      <x:c r="H31" s="16" t="str">
        <x:v>https://db.worldbridge.org/repository/tourn/beijing.12/Beijing.htm</x:v>
      </x:c>
      <x:c r="I31" s="16" t="str">
        <x:v>https://www.worldbridge.org/competitions/past-championships-results/</x:v>
      </x:c>
    </x:row>
    <x:row r="32">
      <x:c r="A32" s="93" t="n">
        <x:v>2011</x:v>
      </x:c>
      <x:c r="B32" s="93" t="str">
        <x:v>2nd World Youth Bridge Congress</x:v>
      </x:c>
      <x:c r="C32" s="93" t="str">
        <x:v>Opatija, Croatia</x:v>
      </x:c>
      <x:c r="D32" s="93" t="str">
        <x:v>核心世界锦标赛</x:v>
      </x:c>
      <x:c r="E32" s="93" t="str">
        <x:v>有中国前三者已在主表；未发现新增</x:v>
      </x:c>
      <x:c r="F32" s="93" t="str">
        <x:v>已按主口径核对</x:v>
      </x:c>
      <x:c r="G32" s="93" t="str">
        <x:v>对照WBF赛事结果与China个人履历逐项检查</x:v>
      </x:c>
      <x:c r="H32" s="93" t="str">
        <x:v>https://www.worldbridge.org/competitions/past-championships-results/</x:v>
      </x:c>
      <x:c r="I32" s="93"/>
    </x:row>
    <x:row r="33">
      <x:c r="A33" s="16" t="n">
        <x:v>2011</x:v>
      </x:c>
      <x:c r="B33" s="16" t="str">
        <x:v>40th World Team Championships</x:v>
      </x:c>
      <x:c r="C33" s="16" t="str">
        <x:v>Veldhoven, Netherlands</x:v>
      </x:c>
      <x:c r="D33" s="16" t="str">
        <x:v>核心世界锦标赛</x:v>
      </x:c>
      <x:c r="E33" s="16" t="str">
        <x:v>有中国前三者已在主表；未发现新增</x:v>
      </x:c>
      <x:c r="F33" s="16" t="str">
        <x:v>已按主口径核对</x:v>
      </x:c>
      <x:c r="G33" s="16" t="str">
        <x:v>对照WBF赛事结果与China个人履历逐项检查</x:v>
      </x:c>
      <x:c r="H33" s="16" t="str">
        <x:v>https://www.worldbridge.org/competitions/past-championships-results/</x:v>
      </x:c>
      <x:c r="I33" s="16"/>
    </x:row>
    <x:row r="34">
      <x:c r="A34" s="93" t="n">
        <x:v>2011</x:v>
      </x:c>
      <x:c r="B34" s="93" t="str">
        <x:v>Sportaccord World Mind Games</x:v>
      </x:c>
      <x:c r="C34" s="93" t="str">
        <x:v>Beijing, China</x:v>
      </x:c>
      <x:c r="D34" s="93" t="str">
        <x:v>邀请/精英赛</x:v>
      </x:c>
      <x:c r="E34" s="93" t="str">
        <x:v>中国1金1银1铜</x:v>
      </x:c>
      <x:c r="F34" s="93" t="str">
        <x:v>不纳入主口径</x:v>
      </x:c>
      <x:c r="G34" s="93" t="str">
        <x:v>加入会增加金牌</x:v>
      </x:c>
      <x:c r="H34" s="93" t="str">
        <x:v>https://db.worldbridge.org/repository/tourn/beijing.11/Beijing.htm</x:v>
      </x:c>
      <x:c r="I34" s="93" t="str">
        <x:v>https://www.worldbridge.org/competitions/past-championships-results/</x:v>
      </x:c>
    </x:row>
    <x:row r="35">
      <x:c r="A35" s="16" t="n">
        <x:v>2010</x:v>
      </x:c>
      <x:c r="B35" s="16" t="str">
        <x:v>13th World Series Championships</x:v>
      </x:c>
      <x:c r="C35" s="16" t="str">
        <x:v>Philadelphia, U.S.A.</x:v>
      </x:c>
      <x:c r="D35" s="16" t="str">
        <x:v>核心世界锦标赛</x:v>
      </x:c>
      <x:c r="E35" s="16" t="str">
        <x:v>有中国前三者已在主表；未发现新增</x:v>
      </x:c>
      <x:c r="F35" s="16" t="str">
        <x:v>已按主口径核对</x:v>
      </x:c>
      <x:c r="G35" s="16" t="str">
        <x:v>对照WBF赛事结果与China个人履历逐项检查</x:v>
      </x:c>
      <x:c r="H35" s="16" t="str">
        <x:v>https://www.worldbridge.org/competitions/past-championships-results/</x:v>
      </x:c>
      <x:c r="I35" s="16"/>
    </x:row>
    <x:row r="36">
      <x:c r="A36" s="93" t="n">
        <x:v>2009</x:v>
      </x:c>
      <x:c r="B36" s="93" t="str">
        <x:v>1st World Youth Congress</x:v>
      </x:c>
      <x:c r="C36" s="93" t="str">
        <x:v>Istanbul, Turkey</x:v>
      </x:c>
      <x:c r="D36" s="93" t="str">
        <x:v>核心世界锦标赛</x:v>
      </x:c>
      <x:c r="E36" s="93" t="str">
        <x:v>有中国前三者已在主表；未发现新增</x:v>
      </x:c>
      <x:c r="F36" s="93" t="str">
        <x:v>已按主口径核对</x:v>
      </x:c>
      <x:c r="G36" s="93" t="str">
        <x:v>对照WBF赛事结果与China个人履历逐项检查</x:v>
      </x:c>
      <x:c r="H36" s="93" t="str">
        <x:v>https://www.worldbridge.org/competitions/past-championships-results/</x:v>
      </x:c>
      <x:c r="I36" s="93"/>
    </x:row>
    <x:row r="37">
      <x:c r="A37" s="16" t="n">
        <x:v>2009</x:v>
      </x:c>
      <x:c r="B37" s="16" t="str">
        <x:v>39th World Team Championships</x:v>
      </x:c>
      <x:c r="C37" s="16" t="str">
        <x:v>Sao Paulo, Brazil</x:v>
      </x:c>
      <x:c r="D37" s="16" t="str">
        <x:v>核心世界锦标赛</x:v>
      </x:c>
      <x:c r="E37" s="16" t="str">
        <x:v>有中国前三者已在主表；未发现新增</x:v>
      </x:c>
      <x:c r="F37" s="16" t="str">
        <x:v>已按主口径核对</x:v>
      </x:c>
      <x:c r="G37" s="16" t="str">
        <x:v>对照WBF赛事结果与China个人履历逐项检查</x:v>
      </x:c>
      <x:c r="H37" s="16" t="str">
        <x:v>https://www.worldbridge.org/competitions/past-championships-results/</x:v>
      </x:c>
      <x:c r="I37" s="16"/>
    </x:row>
    <x:row r="38">
      <x:c r="A38" s="96" t="n">
        <x:v>2008</x:v>
      </x:c>
      <x:c r="B38" s="96" t="str">
        <x:v>13th World Bridge Games</x:v>
      </x:c>
      <x:c r="C38" s="96" t="str">
        <x:v>Beijing, China</x:v>
      </x:c>
      <x:c r="D38" s="96" t="str">
        <x:v>核心世界赛</x:v>
      </x:c>
      <x:c r="E38" s="96" t="str">
        <x:v>新增确认：U28 Teams铜牌</x:v>
      </x:c>
      <x:c r="F38" s="96" t="str">
        <x:v>纳入主表</x:v>
      </x:c>
      <x:c r="G38" s="96" t="str">
        <x:v>赛事正文、季军赛与阵容页三方一致；原个人履历地点为空导致漏检</x:v>
      </x:c>
      <x:c r="H38" s="96" t="str">
        <x:v>https://db.worldbridge.org/repository/tourn/Beijing.08/Beijing.htm
https://db.worldbridge.org/repository/tourn/Beijing.08/Asp/knockoutphase.asp?qtournid=708&amp;qphase=PO
https://db.worldbridge.org/repository/tourn/Beijing.08/ASP/participantsDetail.asp?qteamid=5535</x:v>
      </x:c>
      <x:c r="I38" s="96" t="str">
        <x:v>https://www.worldbridge.org/competitions/past-championships-results/</x:v>
      </x:c>
    </x:row>
    <x:row r="39">
      <x:c r="A39" s="16" t="n">
        <x:v>2007</x:v>
      </x:c>
      <x:c r="B39" s="16" t="str">
        <x:v>38th World Team Championships</x:v>
      </x:c>
      <x:c r="C39" s="16" t="str">
        <x:v>Shanghai, China</x:v>
      </x:c>
      <x:c r="D39" s="16" t="str">
        <x:v>核心世界锦标赛</x:v>
      </x:c>
      <x:c r="E39" s="16" t="str">
        <x:v>有中国前三者已在主表；未发现新增</x:v>
      </x:c>
      <x:c r="F39" s="16" t="str">
        <x:v>已按主口径核对</x:v>
      </x:c>
      <x:c r="G39" s="16" t="str">
        <x:v>对照WBF赛事结果与China个人履历逐项检查</x:v>
      </x:c>
      <x:c r="H39" s="16" t="str">
        <x:v>https://www.worldbridge.org/competitions/past-championships-results/</x:v>
      </x:c>
      <x:c r="I39" s="16"/>
    </x:row>
    <x:row r="40">
      <x:c r="A40" s="93" t="n">
        <x:v>2006</x:v>
      </x:c>
      <x:c r="B40" s="93" t="str">
        <x:v>11th World Youth Team Championships</x:v>
      </x:c>
      <x:c r="C40" s="93" t="str">
        <x:v>Bangkok, Thailand</x:v>
      </x:c>
      <x:c r="D40" s="93" t="str">
        <x:v>核心世界锦标赛</x:v>
      </x:c>
      <x:c r="E40" s="93" t="str">
        <x:v>有中国前三者已在主表；未发现新增</x:v>
      </x:c>
      <x:c r="F40" s="93" t="str">
        <x:v>已按主口径核对</x:v>
      </x:c>
      <x:c r="G40" s="93" t="str">
        <x:v>对照WBF赛事结果与China个人履历逐项检查</x:v>
      </x:c>
      <x:c r="H40" s="93" t="str">
        <x:v>https://www.worldbridge.org/competitions/past-championships-results/</x:v>
      </x:c>
      <x:c r="I40" s="93"/>
    </x:row>
    <x:row r="41">
      <x:c r="A41" s="16" t="n">
        <x:v>2006</x:v>
      </x:c>
      <x:c r="B41" s="16" t="str">
        <x:v>12th World Championships</x:v>
      </x:c>
      <x:c r="C41" s="16" t="str">
        <x:v>Verona, Italy</x:v>
      </x:c>
      <x:c r="D41" s="16" t="str">
        <x:v>核心世界锦标赛</x:v>
      </x:c>
      <x:c r="E41" s="16" t="str">
        <x:v>有中国前三者已在主表；未发现新增</x:v>
      </x:c>
      <x:c r="F41" s="16" t="str">
        <x:v>已按主口径核对</x:v>
      </x:c>
      <x:c r="G41" s="16" t="str">
        <x:v>对照WBF赛事结果与China个人履历逐项检查</x:v>
      </x:c>
      <x:c r="H41" s="16" t="str">
        <x:v>https://www.worldbridge.org/competitions/past-championships-results/</x:v>
      </x:c>
      <x:c r="I41" s="16"/>
    </x:row>
    <x:row r="42">
      <x:c r="A42" s="93" t="n">
        <x:v>2006</x:v>
      </x:c>
      <x:c r="B42" s="93" t="str">
        <x:v>6th World Youth Pairs Championships</x:v>
      </x:c>
      <x:c r="C42" s="93" t="str">
        <x:v>Piestany, Slovakia</x:v>
      </x:c>
      <x:c r="D42" s="93" t="str">
        <x:v>核心世界锦标赛</x:v>
      </x:c>
      <x:c r="E42" s="93" t="str">
        <x:v>有中国前三者已在主表；未发现新增</x:v>
      </x:c>
      <x:c r="F42" s="93" t="str">
        <x:v>已按主口径核对</x:v>
      </x:c>
      <x:c r="G42" s="93" t="str">
        <x:v>对照WBF赛事结果与China个人履历逐项检查</x:v>
      </x:c>
      <x:c r="H42" s="93" t="str">
        <x:v>https://www.worldbridge.org/competitions/past-championships-results/</x:v>
      </x:c>
      <x:c r="I42" s="93"/>
    </x:row>
    <x:row r="43">
      <x:c r="A43" s="16" t="n">
        <x:v>2006</x:v>
      </x:c>
      <x:c r="B43" s="16" t="str">
        <x:v>7th World Junior Camp</x:v>
      </x:c>
      <x:c r="C43" s="16" t="str">
        <x:v>Piestany, Slovakia</x:v>
      </x:c>
      <x:c r="D43" s="16" t="str">
        <x:v>青年辅助/训练项目</x:v>
      </x:c>
      <x:c r="E43" s="16" t="str">
        <x:v>858名China个人履历反查未见可安全新增</x:v>
      </x:c>
      <x:c r="F43" s="16" t="str">
        <x:v>不纳入</x:v>
      </x:c>
      <x:c r="G43" s="16" t="str">
        <x:v>营地/学校/个人辅助项目不与世界冠军奖牌表混算</x:v>
      </x:c>
      <x:c r="H43" s="16" t="str">
        <x:v>https://www.worldbridge.org/competitions/past-championships-results/</x:v>
      </x:c>
      <x:c r="I43" s="16"/>
    </x:row>
    <x:row r="44">
      <x:c r="A44" s="93" t="n">
        <x:v>2005</x:v>
      </x:c>
      <x:c r="B44" s="93" t="str">
        <x:v>10th World Youth Team Championship</x:v>
      </x:c>
      <x:c r="C44" s="93" t="str">
        <x:v>Sydney, Australia</x:v>
      </x:c>
      <x:c r="D44" s="93" t="str">
        <x:v>核心世界锦标赛</x:v>
      </x:c>
      <x:c r="E44" s="93" t="str">
        <x:v>有中国前三者已在主表；未发现新增</x:v>
      </x:c>
      <x:c r="F44" s="93" t="str">
        <x:v>已按主口径核对</x:v>
      </x:c>
      <x:c r="G44" s="93" t="str">
        <x:v>对照WBF赛事结果与China个人履历逐项检查</x:v>
      </x:c>
      <x:c r="H44" s="93" t="str">
        <x:v>https://www.worldbridge.org/competitions/past-championships-results/</x:v>
      </x:c>
      <x:c r="I44" s="93"/>
    </x:row>
    <x:row r="45">
      <x:c r="A45" s="16" t="n">
        <x:v>2005</x:v>
      </x:c>
      <x:c r="B45" s="16" t="str">
        <x:v>37th World Team Championships</x:v>
      </x:c>
      <x:c r="C45" s="16" t="str">
        <x:v>Estoril, Portugal</x:v>
      </x:c>
      <x:c r="D45" s="16" t="str">
        <x:v>核心世界锦标赛</x:v>
      </x:c>
      <x:c r="E45" s="16" t="str">
        <x:v>有中国前三者已在主表；未发现新增</x:v>
      </x:c>
      <x:c r="F45" s="16" t="str">
        <x:v>已按主口径核对</x:v>
      </x:c>
      <x:c r="G45" s="16" t="str">
        <x:v>对照WBF赛事结果与China个人履历逐项检查</x:v>
      </x:c>
      <x:c r="H45" s="16" t="str">
        <x:v>https://www.worldbridge.org/competitions/past-championships-results/</x:v>
      </x:c>
      <x:c r="I45" s="16"/>
    </x:row>
    <x:row r="46">
      <x:c r="A46" s="93" t="n">
        <x:v>2004</x:v>
      </x:c>
      <x:c r="B46" s="93" t="str">
        <x:v>12th World Team Olympiad</x:v>
      </x:c>
      <x:c r="C46" s="93" t="str">
        <x:v>Istanbul, Turkey</x:v>
      </x:c>
      <x:c r="D46" s="93" t="str">
        <x:v>核心世界锦标赛</x:v>
      </x:c>
      <x:c r="E46" s="93" t="str">
        <x:v>有中国前三者已在主表；未发现新增</x:v>
      </x:c>
      <x:c r="F46" s="93" t="str">
        <x:v>已按主口径核对</x:v>
      </x:c>
      <x:c r="G46" s="93" t="str">
        <x:v>对照WBF赛事结果与China个人履历逐项检查</x:v>
      </x:c>
      <x:c r="H46" s="93" t="str">
        <x:v>https://www.worldbridge.org/competitions/past-championships-results/</x:v>
      </x:c>
      <x:c r="I46" s="93"/>
    </x:row>
    <x:row r="47">
      <x:c r="A47" s="16" t="n">
        <x:v>2004</x:v>
      </x:c>
      <x:c r="B47" s="16" t="str">
        <x:v>1st World Junior Individual Championship</x:v>
      </x:c>
      <x:c r="C47" s="16" t="str">
        <x:v>New York, U.S.A.</x:v>
      </x:c>
      <x:c r="D47" s="16" t="str">
        <x:v>青年辅助/训练项目</x:v>
      </x:c>
      <x:c r="E47" s="16" t="str">
        <x:v>858名China个人履历反查未见可安全新增</x:v>
      </x:c>
      <x:c r="F47" s="16" t="str">
        <x:v>不纳入</x:v>
      </x:c>
      <x:c r="G47" s="16" t="str">
        <x:v>营地/学校/个人辅助项目不与世界冠军奖牌表混算</x:v>
      </x:c>
      <x:c r="H47" s="16" t="str">
        <x:v>https://www.worldbridge.org/competitions/past-championships-results/</x:v>
      </x:c>
      <x:c r="I47" s="16"/>
    </x:row>
    <x:row r="48">
      <x:c r="A48" s="93" t="n">
        <x:v>2004</x:v>
      </x:c>
      <x:c r="B48" s="93" t="str">
        <x:v>1st World Schools Team Championship</x:v>
      </x:c>
      <x:c r="C48" s="93" t="str">
        <x:v>New York, U.S.A.</x:v>
      </x:c>
      <x:c r="D48" s="93" t="str">
        <x:v>青年辅助/训练项目</x:v>
      </x:c>
      <x:c r="E48" s="93" t="str">
        <x:v>858名China个人履历反查未见可安全新增</x:v>
      </x:c>
      <x:c r="F48" s="93" t="str">
        <x:v>不纳入</x:v>
      </x:c>
      <x:c r="G48" s="93" t="str">
        <x:v>营地/学校/个人辅助项目不与世界冠军奖牌表混算</x:v>
      </x:c>
      <x:c r="H48" s="93" t="str">
        <x:v>https://www.worldbridge.org/competitions/past-championships-results/</x:v>
      </x:c>
      <x:c r="I48" s="93"/>
    </x:row>
    <x:row r="49">
      <x:c r="A49" s="16" t="n">
        <x:v>2004</x:v>
      </x:c>
      <x:c r="B49" s="16" t="str">
        <x:v>3rd World Transnational Mixed Team Championship</x:v>
      </x:c>
      <x:c r="C49" s="16" t="str">
        <x:v>Istanbul, Turkey</x:v>
      </x:c>
      <x:c r="D49" s="16" t="str">
        <x:v>核心世界锦标赛</x:v>
      </x:c>
      <x:c r="E49" s="16" t="str">
        <x:v>有中国前三者已在主表；未发现新增</x:v>
      </x:c>
      <x:c r="F49" s="16" t="str">
        <x:v>已按主口径核对</x:v>
      </x:c>
      <x:c r="G49" s="16" t="str">
        <x:v>对照WBF赛事结果与China个人履历逐项检查</x:v>
      </x:c>
      <x:c r="H49" s="16" t="str">
        <x:v>https://www.worldbridge.org/competitions/past-championships-results/</x:v>
      </x:c>
      <x:c r="I49" s="16"/>
    </x:row>
    <x:row r="50">
      <x:c r="A50" s="93" t="n">
        <x:v>2004</x:v>
      </x:c>
      <x:c r="B50" s="93" t="str">
        <x:v>6th Generali World Masters Individual</x:v>
      </x:c>
      <x:c r="C50" s="93" t="str">
        <x:v>Verona, Italy</x:v>
      </x:c>
      <x:c r="D50" s="93" t="str">
        <x:v>邀请/大师赛</x:v>
      </x:c>
      <x:c r="E50" s="93" t="str">
        <x:v>中国无前三</x:v>
      </x:c>
      <x:c r="F50" s="93" t="str">
        <x:v>无新增</x:v>
      </x:c>
      <x:c r="G50" s="93" t="str">
        <x:v>官方历史结果：中国选手未进前三</x:v>
      </x:c>
      <x:c r="H50" s="93" t="str">
        <x:v>https://web.archive.org/web/20110519085940id_/http://www.worldbridge.org/competitions/worldchampionships/Indivchampionships.asp?qmenuid=34</x:v>
      </x:c>
      <x:c r="I50" s="93" t="str">
        <x:v>https://www.worldbridge.org/competitions/past-championships-results/</x:v>
      </x:c>
    </x:row>
    <x:row r="51">
      <x:c r="A51" s="16" t="n">
        <x:v>2004</x:v>
      </x:c>
      <x:c r="B51" s="16" t="str">
        <x:v>6th World Junior Camp</x:v>
      </x:c>
      <x:c r="C51" s="16" t="str">
        <x:v>New York, U.S.A.</x:v>
      </x:c>
      <x:c r="D51" s="16" t="str">
        <x:v>青年辅助/训练项目</x:v>
      </x:c>
      <x:c r="E51" s="16" t="str">
        <x:v>858名China个人履历反查未见可安全新增</x:v>
      </x:c>
      <x:c r="F51" s="16" t="str">
        <x:v>不纳入</x:v>
      </x:c>
      <x:c r="G51" s="16" t="str">
        <x:v>营地/学校/个人辅助项目不与世界冠军奖牌表混算</x:v>
      </x:c>
      <x:c r="H51" s="16" t="str">
        <x:v>https://www.worldbridge.org/competitions/past-championships-results/</x:v>
      </x:c>
      <x:c r="I51" s="16"/>
    </x:row>
    <x:row r="52">
      <x:c r="A52" s="93" t="n">
        <x:v>2003</x:v>
      </x:c>
      <x:c r="B52" s="93" t="str">
        <x:v>36th World Team Championship</x:v>
      </x:c>
      <x:c r="C52" s="93" t="str">
        <x:v>Monte Carlo, Monaco</x:v>
      </x:c>
      <x:c r="D52" s="93" t="str">
        <x:v>核心世界锦标赛</x:v>
      </x:c>
      <x:c r="E52" s="93" t="str">
        <x:v>有中国前三者已在主表；未发现新增</x:v>
      </x:c>
      <x:c r="F52" s="93" t="str">
        <x:v>已按主口径核对</x:v>
      </x:c>
      <x:c r="G52" s="93" t="str">
        <x:v>对照WBF赛事结果与China个人履历逐项检查</x:v>
      </x:c>
      <x:c r="H52" s="93" t="str">
        <x:v>https://www.worldbridge.org/competitions/past-championships-results/</x:v>
      </x:c>
      <x:c r="I52" s="93"/>
    </x:row>
    <x:row r="53">
      <x:c r="A53" s="16" t="n">
        <x:v>2003</x:v>
      </x:c>
      <x:c r="B53" s="16" t="str">
        <x:v>5th World Junior Camp</x:v>
      </x:c>
      <x:c r="C53" s="16" t="str">
        <x:v>Vargesztes, Hungary</x:v>
      </x:c>
      <x:c r="D53" s="16" t="str">
        <x:v>青年辅助/训练项目</x:v>
      </x:c>
      <x:c r="E53" s="16" t="str">
        <x:v>858名China个人履历反查未见可安全新增</x:v>
      </x:c>
      <x:c r="F53" s="16" t="str">
        <x:v>不纳入</x:v>
      </x:c>
      <x:c r="G53" s="16" t="str">
        <x:v>营地/学校/个人辅助项目不与世界冠军奖牌表混算</x:v>
      </x:c>
      <x:c r="H53" s="16" t="str">
        <x:v>https://www.worldbridge.org/competitions/past-championships-results/</x:v>
      </x:c>
      <x:c r="I53" s="16"/>
    </x:row>
    <x:row r="54">
      <x:c r="A54" s="93" t="n">
        <x:v>2003</x:v>
      </x:c>
      <x:c r="B54" s="93" t="str">
        <x:v>5th World Junior Pairs Championship</x:v>
      </x:c>
      <x:c r="C54" s="93" t="str">
        <x:v>Tata, Hungary</x:v>
      </x:c>
      <x:c r="D54" s="93" t="str">
        <x:v>核心世界锦标赛</x:v>
      </x:c>
      <x:c r="E54" s="93" t="str">
        <x:v>有中国前三者已在主表；未发现新增</x:v>
      </x:c>
      <x:c r="F54" s="93" t="str">
        <x:v>已按主口径核对</x:v>
      </x:c>
      <x:c r="G54" s="93" t="str">
        <x:v>对照WBF赛事结果与China个人履历逐项检查</x:v>
      </x:c>
      <x:c r="H54" s="93" t="str">
        <x:v>https://www.worldbridge.org/competitions/past-championships-results/</x:v>
      </x:c>
      <x:c r="I54" s="93"/>
    </x:row>
    <x:row r="55">
      <x:c r="A55" s="16" t="n">
        <x:v>2003</x:v>
      </x:c>
      <x:c r="B55" s="16" t="str">
        <x:v>9th World Youth Team Championship</x:v>
      </x:c>
      <x:c r="C55" s="16" t="str">
        <x:v>Paris, France</x:v>
      </x:c>
      <x:c r="D55" s="16" t="str">
        <x:v>核心世界锦标赛</x:v>
      </x:c>
      <x:c r="E55" s="16" t="str">
        <x:v>有中国前三者已在主表；未发现新增</x:v>
      </x:c>
      <x:c r="F55" s="16" t="str">
        <x:v>已按主口径核对</x:v>
      </x:c>
      <x:c r="G55" s="16" t="str">
        <x:v>对照WBF赛事结果与China个人履历逐项检查</x:v>
      </x:c>
      <x:c r="H55" s="16" t="str">
        <x:v>https://www.worldbridge.org/competitions/past-championships-results/</x:v>
      </x:c>
      <x:c r="I55" s="16"/>
    </x:row>
    <x:row r="56">
      <x:c r="A56" s="93" t="n">
        <x:v>2002</x:v>
      </x:c>
      <x:c r="B56" s="93" t="str">
        <x:v>11th World Championships</x:v>
      </x:c>
      <x:c r="C56" s="93" t="str">
        <x:v>Montreal, Canada</x:v>
      </x:c>
      <x:c r="D56" s="93" t="str">
        <x:v>核心世界锦标赛</x:v>
      </x:c>
      <x:c r="E56" s="93" t="str">
        <x:v>有中国前三者已在主表；未发现新增</x:v>
      </x:c>
      <x:c r="F56" s="93" t="str">
        <x:v>已按主口径核对</x:v>
      </x:c>
      <x:c r="G56" s="93" t="str">
        <x:v>对照WBF赛事结果与China个人履历逐项检查</x:v>
      </x:c>
      <x:c r="H56" s="93" t="str">
        <x:v>https://www.worldbridge.org/competitions/past-championships-results/</x:v>
      </x:c>
      <x:c r="I56" s="93"/>
    </x:row>
    <x:row r="57">
      <x:c r="A57" s="16" t="n">
        <x:v>2002</x:v>
      </x:c>
      <x:c r="B57" s="16" t="str">
        <x:v>4th IOC Grand Prix</x:v>
      </x:c>
      <x:c r="C57" s="16" t="str">
        <x:v>Salt Lake City, U.S.A.</x:v>
      </x:c>
      <x:c r="D57" s="16" t="str">
        <x:v>邀请/表演赛</x:v>
      </x:c>
      <x:c r="E57" s="16" t="str">
        <x:v>中国无前三</x:v>
      </x:c>
      <x:c r="F57" s="16" t="str">
        <x:v>无新增</x:v>
      </x:c>
      <x:c r="G57" s="16" t="str">
        <x:v>官方历史结果：中国第6</x:v>
      </x:c>
      <x:c r="H57" s="16" t="str">
        <x:v>https://web.archive.org/web/20110519085940id_/http://www.worldbridge.org/competitions/worldchampionships/TeamChampionships.asp?qmenuid=33</x:v>
      </x:c>
      <x:c r="I57" s="16" t="str">
        <x:v>https://www.worldbridge.org/competitions/past-championships-results/</x:v>
      </x:c>
    </x:row>
    <x:row r="58">
      <x:c r="A58" s="93" t="n">
        <x:v>2001</x:v>
      </x:c>
      <x:c r="B58" s="93" t="str">
        <x:v>35th World Team Championship</x:v>
      </x:c>
      <x:c r="C58" s="93" t="str">
        <x:v>Paris, France</x:v>
      </x:c>
      <x:c r="D58" s="93" t="str">
        <x:v>核心世界锦标赛</x:v>
      </x:c>
      <x:c r="E58" s="93" t="str">
        <x:v>有中国前三者已在主表；未发现新增</x:v>
      </x:c>
      <x:c r="F58" s="93" t="str">
        <x:v>已按主口径核对</x:v>
      </x:c>
      <x:c r="G58" s="93" t="str">
        <x:v>对照WBF赛事结果与China个人履历逐项检查</x:v>
      </x:c>
      <x:c r="H58" s="93" t="str">
        <x:v>https://www.worldbridge.org/competitions/past-championships-results/</x:v>
      </x:c>
      <x:c r="I58" s="93"/>
    </x:row>
    <x:row r="59">
      <x:c r="A59" s="16" t="n">
        <x:v>2001</x:v>
      </x:c>
      <x:c r="B59" s="16" t="str">
        <x:v>4th World Junior Camp</x:v>
      </x:c>
      <x:c r="C59" s="16" t="str">
        <x:v>Insko, Poland</x:v>
      </x:c>
      <x:c r="D59" s="16" t="str">
        <x:v>青年辅助/训练项目</x:v>
      </x:c>
      <x:c r="E59" s="16" t="str">
        <x:v>858名China个人履历反查未见可安全新增</x:v>
      </x:c>
      <x:c r="F59" s="16" t="str">
        <x:v>不纳入</x:v>
      </x:c>
      <x:c r="G59" s="16" t="str">
        <x:v>营地/学校/个人辅助项目不与世界冠军奖牌表混算</x:v>
      </x:c>
      <x:c r="H59" s="16" t="str">
        <x:v>https://www.worldbridge.org/competitions/past-championships-results/</x:v>
      </x:c>
      <x:c r="I59" s="16"/>
    </x:row>
    <x:row r="60">
      <x:c r="A60" s="93" t="n">
        <x:v>2001</x:v>
      </x:c>
      <x:c r="B60" s="93" t="str">
        <x:v>4th World Junior Pairs Championship</x:v>
      </x:c>
      <x:c r="C60" s="93" t="str">
        <x:v>Stargard, Poland</x:v>
      </x:c>
      <x:c r="D60" s="93" t="str">
        <x:v>核心世界锦标赛</x:v>
      </x:c>
      <x:c r="E60" s="93" t="str">
        <x:v>有中国前三者已在主表；未发现新增</x:v>
      </x:c>
      <x:c r="F60" s="93" t="str">
        <x:v>已按主口径核对</x:v>
      </x:c>
      <x:c r="G60" s="93" t="str">
        <x:v>对照WBF赛事结果与China个人履历逐项检查</x:v>
      </x:c>
      <x:c r="H60" s="93" t="str">
        <x:v>https://www.worldbridge.org/competitions/past-championships-results/</x:v>
      </x:c>
      <x:c r="I60" s="93"/>
    </x:row>
    <x:row r="61">
      <x:c r="A61" s="16" t="n">
        <x:v>2001</x:v>
      </x:c>
      <x:c r="B61" s="16" t="str">
        <x:v>8th World Youth Team Championship</x:v>
      </x:c>
      <x:c r="C61" s="16" t="str">
        <x:v>Mangaratiba, Brazil</x:v>
      </x:c>
      <x:c r="D61" s="16" t="str">
        <x:v>核心世界锦标赛</x:v>
      </x:c>
      <x:c r="E61" s="16" t="str">
        <x:v>有中国前三者已在主表；未发现新增</x:v>
      </x:c>
      <x:c r="F61" s="16" t="str">
        <x:v>已按主口径核对</x:v>
      </x:c>
      <x:c r="G61" s="16" t="str">
        <x:v>对照WBF赛事结果与China个人履历逐项检查</x:v>
      </x:c>
      <x:c r="H61" s="16" t="str">
        <x:v>https://www.worldbridge.org/competitions/past-championships-results/</x:v>
      </x:c>
      <x:c r="I61" s="16"/>
    </x:row>
    <x:row r="62">
      <x:c r="A62" s="93" t="n">
        <x:v>2000</x:v>
      </x:c>
      <x:c r="B62" s="93" t="str">
        <x:v>11th World Team Olympiad</x:v>
      </x:c>
      <x:c r="C62" s="93" t="str">
        <x:v>Maastricht, Netherlands</x:v>
      </x:c>
      <x:c r="D62" s="93" t="str">
        <x:v>核心世界锦标赛</x:v>
      </x:c>
      <x:c r="E62" s="93" t="str">
        <x:v>有中国前三者已在主表；未发现新增</x:v>
      </x:c>
      <x:c r="F62" s="93" t="str">
        <x:v>已按主口径核对</x:v>
      </x:c>
      <x:c r="G62" s="93" t="str">
        <x:v>对照WBF赛事结果与China个人履历逐项检查</x:v>
      </x:c>
      <x:c r="H62" s="93" t="str">
        <x:v>https://www.worldbridge.org/competitions/past-championships-results/</x:v>
      </x:c>
      <x:c r="I62" s="93"/>
    </x:row>
    <x:row r="63">
      <x:c r="A63" s="16" t="n">
        <x:v>2000</x:v>
      </x:c>
      <x:c r="B63" s="16" t="str">
        <x:v>34th World Team Championship</x:v>
      </x:c>
      <x:c r="C63" s="16" t="str">
        <x:v>Southampton, Bermuda</x:v>
      </x:c>
      <x:c r="D63" s="16" t="str">
        <x:v>核心世界锦标赛</x:v>
      </x:c>
      <x:c r="E63" s="16" t="str">
        <x:v>有中国前三者已在主表；未发现新增</x:v>
      </x:c>
      <x:c r="F63" s="16" t="str">
        <x:v>已按主口径核对</x:v>
      </x:c>
      <x:c r="G63" s="16" t="str">
        <x:v>对照WBF赛事结果与China个人履历逐项检查</x:v>
      </x:c>
      <x:c r="H63" s="16" t="str">
        <x:v>https://www.worldbridge.org/competitions/past-championships-results/</x:v>
      </x:c>
      <x:c r="I63" s="16"/>
    </x:row>
    <x:row r="64">
      <x:c r="A64" s="93" t="n">
        <x:v>2000</x:v>
      </x:c>
      <x:c r="B64" s="93" t="str">
        <x:v>3rd IOC Grand Prix</x:v>
      </x:c>
      <x:c r="C64" s="93" t="str">
        <x:v>Lausanne, Switzerland</x:v>
      </x:c>
      <x:c r="D64" s="93" t="str">
        <x:v>邀请/表演赛</x:v>
      </x:c>
      <x:c r="E64" s="93" t="str">
        <x:v>中国无前三</x:v>
      </x:c>
      <x:c r="F64" s="93" t="str">
        <x:v>无新增</x:v>
      </x:c>
      <x:c r="G64" s="93" t="str">
        <x:v>官方历史结果：中国第5</x:v>
      </x:c>
      <x:c r="H64" s="93" t="str">
        <x:v>https://web.archive.org/web/20110519085940id_/http://www.worldbridge.org/competitions/worldchampionships/TeamChampionships.asp?qmenuid=33</x:v>
      </x:c>
      <x:c r="I64" s="93" t="str">
        <x:v>https://www.worldbridge.org/competitions/past-championships-results/</x:v>
      </x:c>
    </x:row>
    <x:row r="65">
      <x:c r="A65" s="16" t="n">
        <x:v>2000</x:v>
      </x:c>
      <x:c r="B65" s="16" t="str">
        <x:v>5th Generali World Masters Individual</x:v>
      </x:c>
      <x:c r="C65" s="16" t="str">
        <x:v>Athens, Greece</x:v>
      </x:c>
      <x:c r="D65" s="16" t="str">
        <x:v>邀请/大师赛</x:v>
      </x:c>
      <x:c r="E65" s="16" t="str">
        <x:v>中国无前三</x:v>
      </x:c>
      <x:c r="F65" s="16" t="str">
        <x:v>无新增</x:v>
      </x:c>
      <x:c r="G65" s="16" t="str">
        <x:v>中国选手各组最好名次未进前三</x:v>
      </x:c>
      <x:c r="H65" s="16" t="str">
        <x:v>https://web.archive.org/web/20110519085940id_/http://www.worldbridge.org/competitions/worldchampionships/Indivchampionships.asp?qmenuid=34</x:v>
      </x:c>
      <x:c r="I65" s="16" t="str">
        <x:v>https://www.worldbridge.org/competitions/past-championships-results/</x:v>
      </x:c>
    </x:row>
    <x:row r="66">
      <x:c r="A66" s="93" t="n">
        <x:v>1999</x:v>
      </x:c>
      <x:c r="B66" s="93" t="str">
        <x:v>2nd IOC Grand Prix</x:v>
      </x:c>
      <x:c r="C66" s="93" t="str">
        <x:v>Lausanne, Switzerland</x:v>
      </x:c>
      <x:c r="D66" s="93" t="str">
        <x:v>邀请/表演赛</x:v>
      </x:c>
      <x:c r="E66" s="93" t="str">
        <x:v>中国无前三</x:v>
      </x:c>
      <x:c r="F66" s="93" t="str">
        <x:v>无新增</x:v>
      </x:c>
      <x:c r="G66" s="93" t="str">
        <x:v>官方历史结果：中国第4</x:v>
      </x:c>
      <x:c r="H66" s="93" t="str">
        <x:v>https://web.archive.org/web/20110519085940id_/http://www.worldbridge.org/competitions/worldchampionships/TeamChampionships.asp?qmenuid=33</x:v>
      </x:c>
      <x:c r="I66" s="93" t="str">
        <x:v>https://www.worldbridge.org/competitions/past-championships-results/</x:v>
      </x:c>
    </x:row>
    <x:row r="67">
      <x:c r="A67" s="16" t="n">
        <x:v>1999</x:v>
      </x:c>
      <x:c r="B67" s="16" t="str">
        <x:v>3rd World Junior Camp</x:v>
      </x:c>
      <x:c r="C67" s="16" t="str">
        <x:v>Nymburk, Czech Republic</x:v>
      </x:c>
      <x:c r="D67" s="16" t="str">
        <x:v>青年辅助/训练项目</x:v>
      </x:c>
      <x:c r="E67" s="16" t="str">
        <x:v>858名China个人履历反查未见可安全新增</x:v>
      </x:c>
      <x:c r="F67" s="16" t="str">
        <x:v>不纳入</x:v>
      </x:c>
      <x:c r="G67" s="16" t="str">
        <x:v>营地/学校/个人辅助项目不与世界冠军奖牌表混算</x:v>
      </x:c>
      <x:c r="H67" s="16" t="str">
        <x:v>https://www.worldbridge.org/competitions/past-championships-results/</x:v>
      </x:c>
      <x:c r="I67" s="16"/>
    </x:row>
    <x:row r="68">
      <x:c r="A68" s="93" t="n">
        <x:v>1999</x:v>
      </x:c>
      <x:c r="B68" s="93" t="str">
        <x:v>3rd World Junior Pairs Championship</x:v>
      </x:c>
      <x:c r="C68" s="93" t="str">
        <x:v>Nymburk, Czech Republic</x:v>
      </x:c>
      <x:c r="D68" s="93" t="str">
        <x:v>核心世界锦标赛</x:v>
      </x:c>
      <x:c r="E68" s="93" t="str">
        <x:v>有中国前三者已在主表；未发现新增</x:v>
      </x:c>
      <x:c r="F68" s="93" t="str">
        <x:v>已按主口径核对</x:v>
      </x:c>
      <x:c r="G68" s="93" t="str">
        <x:v>对照WBF赛事结果与China个人履历逐项检查</x:v>
      </x:c>
      <x:c r="H68" s="93" t="str">
        <x:v>https://www.worldbridge.org/competitions/past-championships-results/</x:v>
      </x:c>
      <x:c r="I68" s="93"/>
    </x:row>
    <x:row r="69">
      <x:c r="A69" s="16" t="n">
        <x:v>1999</x:v>
      </x:c>
      <x:c r="B69" s="16" t="str">
        <x:v>7th World Youth Team Championship</x:v>
      </x:c>
      <x:c r="C69" s="16" t="str">
        <x:v>Fort Lauderdale, U.S.A.</x:v>
      </x:c>
      <x:c r="D69" s="16" t="str">
        <x:v>核心世界锦标赛</x:v>
      </x:c>
      <x:c r="E69" s="16" t="str">
        <x:v>有中国前三者已在主表；未发现新增</x:v>
      </x:c>
      <x:c r="F69" s="16" t="str">
        <x:v>已按主口径核对</x:v>
      </x:c>
      <x:c r="G69" s="16" t="str">
        <x:v>对照WBF赛事结果与China个人履历逐项检查</x:v>
      </x:c>
      <x:c r="H69" s="16" t="str">
        <x:v>https://www.worldbridge.org/competitions/past-championships-results/</x:v>
      </x:c>
      <x:c r="I69" s="16"/>
    </x:row>
    <x:row r="70">
      <x:c r="A70" s="93" t="n">
        <x:v>1998</x:v>
      </x:c>
      <x:c r="B70" s="93" t="str">
        <x:v>10th World Championships</x:v>
      </x:c>
      <x:c r="C70" s="93" t="str">
        <x:v>Lille, France</x:v>
      </x:c>
      <x:c r="D70" s="93" t="str">
        <x:v>核心世界锦标赛</x:v>
      </x:c>
      <x:c r="E70" s="93" t="str">
        <x:v>有中国前三者已在主表；未发现新增</x:v>
      </x:c>
      <x:c r="F70" s="93" t="str">
        <x:v>已按主口径核对</x:v>
      </x:c>
      <x:c r="G70" s="93" t="str">
        <x:v>对照WBF赛事结果与China个人履历逐项检查</x:v>
      </x:c>
      <x:c r="H70" s="93" t="str">
        <x:v>https://www.worldbridge.org/competitions/past-championships-results/</x:v>
      </x:c>
      <x:c r="I70" s="93"/>
    </x:row>
    <x:row r="71">
      <x:c r="A71" s="16" t="n">
        <x:v>1998</x:v>
      </x:c>
      <x:c r="B71" s="16" t="str">
        <x:v>1st IOC Grand Prix</x:v>
      </x:c>
      <x:c r="C71" s="16" t="str">
        <x:v>Lausanne, Switzerland</x:v>
      </x:c>
      <x:c r="D71" s="16" t="str">
        <x:v>邀请/表演赛</x:v>
      </x:c>
      <x:c r="E71" s="16" t="str">
        <x:v>中国与巴西并列冠军：1金</x:v>
      </x:c>
      <x:c r="F71" s="16" t="str">
        <x:v>不纳入主口径</x:v>
      </x:c>
      <x:c r="G71" s="16" t="str">
        <x:v>会令金牌多1，与官方差额结构不符</x:v>
      </x:c>
      <x:c r="H71" s="16" t="str">
        <x:v>https://web.archive.org/web/20110519085940id_/http://www.worldbridge.org/competitions/worldchampionships/TeamChampionships.asp?qmenuid=33</x:v>
      </x:c>
      <x:c r="I71" s="16" t="str">
        <x:v>https://www.worldbridge.org/competitions/past-championships-results/</x:v>
      </x:c>
    </x:row>
    <x:row r="72">
      <x:c r="A72" s="93" t="n">
        <x:v>1998</x:v>
      </x:c>
      <x:c r="B72" s="93" t="str">
        <x:v>4th Generali World Masters Individual</x:v>
      </x:c>
      <x:c r="C72" s="93" t="str">
        <x:v>Ajaccio, France</x:v>
      </x:c>
      <x:c r="D72" s="93" t="str">
        <x:v>邀请/大师赛</x:v>
      </x:c>
      <x:c r="E72" s="93" t="str">
        <x:v>中国无前三</x:v>
      </x:c>
      <x:c r="F72" s="93" t="str">
        <x:v>无新增</x:v>
      </x:c>
      <x:c r="G72" s="93" t="str">
        <x:v>中国选手各组最好名次未进前三</x:v>
      </x:c>
      <x:c r="H72" s="93" t="str">
        <x:v>https://web.archive.org/web/20110519085940id_/http://www.worldbridge.org/competitions/worldchampionships/Indivchampionships.asp?qmenuid=34</x:v>
      </x:c>
      <x:c r="I72" s="93" t="str">
        <x:v>https://www.worldbridge.org/competitions/past-championships-results/</x:v>
      </x:c>
    </x:row>
    <x:row r="73">
      <x:c r="A73" s="16" t="n">
        <x:v>1997</x:v>
      </x:c>
      <x:c r="B73" s="16" t="str">
        <x:v>2nd World Junior Camp Championship</x:v>
      </x:c>
      <x:c r="C73" s="16" t="str">
        <x:v>Santa Sofia, Italy</x:v>
      </x:c>
      <x:c r="D73" s="16" t="str">
        <x:v>青年辅助/训练项目</x:v>
      </x:c>
      <x:c r="E73" s="16" t="str">
        <x:v>858名China个人履历反查未见可安全新增</x:v>
      </x:c>
      <x:c r="F73" s="16" t="str">
        <x:v>不纳入</x:v>
      </x:c>
      <x:c r="G73" s="16" t="str">
        <x:v>营地/学校/个人辅助项目不与世界冠军奖牌表混算</x:v>
      </x:c>
      <x:c r="H73" s="16" t="str">
        <x:v>https://www.worldbridge.org/competitions/past-championships-results/</x:v>
      </x:c>
      <x:c r="I73" s="16"/>
    </x:row>
    <x:row r="74">
      <x:c r="A74" s="93" t="n">
        <x:v>1997</x:v>
      </x:c>
      <x:c r="B74" s="93" t="str">
        <x:v>33rd World Team Championship</x:v>
      </x:c>
      <x:c r="C74" s="93" t="str">
        <x:v>Hammamet, Tunisia</x:v>
      </x:c>
      <x:c r="D74" s="93" t="str">
        <x:v>核心世界锦标赛</x:v>
      </x:c>
      <x:c r="E74" s="93" t="str">
        <x:v>有中国前三者已在主表；未发现新增</x:v>
      </x:c>
      <x:c r="F74" s="93" t="str">
        <x:v>已按主口径核对</x:v>
      </x:c>
      <x:c r="G74" s="93" t="str">
        <x:v>对照WBF赛事结果与China个人履历逐项检查</x:v>
      </x:c>
      <x:c r="H74" s="93" t="str">
        <x:v>https://www.worldbridge.org/competitions/past-championships-results/</x:v>
      </x:c>
      <x:c r="I74" s="93"/>
    </x:row>
    <x:row r="75">
      <x:c r="A75" s="16" t="n">
        <x:v>1997</x:v>
      </x:c>
      <x:c r="B75" s="16" t="str">
        <x:v>6th World Youth Team Championship</x:v>
      </x:c>
      <x:c r="C75" s="16" t="str">
        <x:v>Hamilton, Canada</x:v>
      </x:c>
      <x:c r="D75" s="16" t="str">
        <x:v>核心世界锦标赛</x:v>
      </x:c>
      <x:c r="E75" s="16" t="str">
        <x:v>有中国前三者已在主表；未发现新增</x:v>
      </x:c>
      <x:c r="F75" s="16" t="str">
        <x:v>已按主口径核对</x:v>
      </x:c>
      <x:c r="G75" s="16" t="str">
        <x:v>对照WBF赛事结果与China个人履历逐项检查</x:v>
      </x:c>
      <x:c r="H75" s="16" t="str">
        <x:v>https://www.worldbridge.org/competitions/past-championships-results/</x:v>
      </x:c>
      <x:c r="I75" s="16"/>
    </x:row>
    <x:row r="76">
      <x:c r="A76" s="93" t="n">
        <x:v>1996</x:v>
      </x:c>
      <x:c r="B76" s="93" t="str">
        <x:v>10th World Team Olympiad</x:v>
      </x:c>
      <x:c r="C76" s="93" t="str">
        <x:v>Rhodes, Greece</x:v>
      </x:c>
      <x:c r="D76" s="93" t="str">
        <x:v>核心世界锦标赛</x:v>
      </x:c>
      <x:c r="E76" s="93" t="str">
        <x:v>有中国前三者已在主表；未发现新增</x:v>
      </x:c>
      <x:c r="F76" s="93" t="str">
        <x:v>已按主口径核对</x:v>
      </x:c>
      <x:c r="G76" s="93" t="str">
        <x:v>对照WBF赛事结果与China个人履历逐项检查</x:v>
      </x:c>
      <x:c r="H76" s="93" t="str">
        <x:v>https://www.worldbridge.org/competitions/past-championships-results/</x:v>
      </x:c>
      <x:c r="I76" s="93"/>
    </x:row>
    <x:row r="77">
      <x:c r="A77" s="16" t="n">
        <x:v>1996</x:v>
      </x:c>
      <x:c r="B77" s="16" t="str">
        <x:v>1st World Mixed Team Championship</x:v>
      </x:c>
      <x:c r="C77" s="16" t="str">
        <x:v>Rhodes, Greece</x:v>
      </x:c>
      <x:c r="D77" s="16" t="str">
        <x:v>核心世界锦标赛</x:v>
      </x:c>
      <x:c r="E77" s="16" t="str">
        <x:v>有中国前三者已在主表；未发现新增</x:v>
      </x:c>
      <x:c r="F77" s="16" t="str">
        <x:v>已按主口径核对</x:v>
      </x:c>
      <x:c r="G77" s="16" t="str">
        <x:v>对照WBF赛事结果与China个人履历逐项检查</x:v>
      </x:c>
      <x:c r="H77" s="16" t="str">
        <x:v>https://www.worldbridge.org/competitions/past-championships-results/</x:v>
      </x:c>
      <x:c r="I77" s="16"/>
    </x:row>
  </x:sheetData>
  <x:mergeCells>
    <x:mergeCell ref="A1:I1"/>
    <x:mergeCell ref="A2:I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10" hidden="0" customWidth="1"/>
    <x:col min="3" max="3" width="30" hidden="0" customWidth="1"/>
    <x:col min="4" max="4" width="27" hidden="0" customWidth="1"/>
    <x:col min="5" max="5" width="22" hidden="0" customWidth="1"/>
    <x:col min="6" max="6" width="8" hidden="0" customWidth="1"/>
    <x:col min="7" max="7" width="9" hidden="0" customWidth="1"/>
    <x:col min="8" max="8" width="10" hidden="0" customWidth="1"/>
    <x:col min="9" max="9" width="10" hidden="0" customWidth="1"/>
    <x:col min="10" max="10" width="10" hidden="0" customWidth="1"/>
    <x:col min="11" max="11" width="58" hidden="0" customWidth="1"/>
    <x:col min="12" max="12" width="18" hidden="0" customWidth="1"/>
    <x:col min="13" max="13" width="66" hidden="0" customWidth="1"/>
    <x:col min="14" max="14" width="72" hidden="0" customWidth="1"/>
  </x:cols>
  <x:sheetData>
    <x:row r="1" ht="30" customHeight="1">
      <x:c r="A1" s="83" t="str">
        <x:v>放宽口径候选记录</x:v>
      </x:c>
      <x:c r="B1" s="83"/>
      <x:c r="C1" s="83"/>
      <x:c r="D1" s="83"/>
      <x:c r="E1" s="83"/>
      <x:c r="F1" s="83"/>
      <x:c r="G1" s="83"/>
      <x:c r="H1" s="83"/>
      <x:c r="I1" s="83"/>
      <x:c r="J1" s="83"/>
      <x:c r="K1" s="83"/>
      <x:c r="L1" s="83"/>
      <x:c r="M1" s="83"/>
      <x:c r="N1" s="83"/>
    </x:row>
    <x:row r="2" ht="62" customHeight="1">
      <x:c r="A2" s="87" t="str">
        <x:v>所有可能被称为“小比赛”的候选集中列示。只有2008 U28通过赛事正文、最终名次与阵容三重核验后进入主表；其余只用于情景测试，不计入个人奖牌榜。</x:v>
      </x:c>
      <x:c r="B2" s="87"/>
      <x:c r="C2" s="87"/>
      <x:c r="D2" s="87"/>
      <x:c r="E2" s="87"/>
      <x:c r="F2" s="87"/>
      <x:c r="G2" s="87"/>
      <x:c r="H2" s="87"/>
      <x:c r="I2" s="87"/>
      <x:c r="J2" s="87"/>
      <x:c r="K2" s="87"/>
      <x:c r="L2" s="87"/>
      <x:c r="M2" s="87"/>
      <x:c r="N2" s="87"/>
    </x:row>
    <x:row r="4">
      <x:c r="A4" s="92" t="str">
        <x:v>候选类型</x:v>
      </x:c>
      <x:c r="B4" s="92" t="str">
        <x:v>年份</x:v>
      </x:c>
      <x:c r="C4" s="92" t="str">
        <x:v>比赛</x:v>
      </x:c>
      <x:c r="D4" s="92" t="str">
        <x:v>项目</x:v>
      </x:c>
      <x:c r="E4" s="92" t="str">
        <x:v>队名</x:v>
      </x:c>
      <x:c r="F4" s="92" t="str">
        <x:v>名次</x:v>
      </x:c>
      <x:c r="G4" s="92" t="str">
        <x:v>奖牌</x:v>
      </x:c>
      <x:c r="H4" s="92" t="str">
        <x:v>折算金</x:v>
      </x:c>
      <x:c r="I4" s="92" t="str">
        <x:v>折算银</x:v>
      </x:c>
      <x:c r="J4" s="92" t="str">
        <x:v>折算铜</x:v>
      </x:c>
      <x:c r="K4" s="92" t="str">
        <x:v>选手/说明</x:v>
      </x:c>
      <x:c r="L4" s="92" t="str">
        <x:v>处理</x:v>
      </x:c>
      <x:c r="M4" s="92" t="str">
        <x:v>判断依据</x:v>
      </x:c>
      <x:c r="N4" s="92" t="str">
        <x:v>WBF来源</x:v>
      </x:c>
    </x:row>
    <x:row r="5">
      <x:c r="A5" s="96" t="str">
        <x:v>正式漏项（已确认）</x:v>
      </x:c>
      <x:c r="B5" s="96" t="n">
        <x:v>2008</x:v>
      </x:c>
      <x:c r="C5" s="96" t="str">
        <x:v>13th World Bridge Games</x:v>
      </x:c>
      <x:c r="D5" s="96" t="str">
        <x:v>U28 Teams</x:v>
      </x:c>
      <x:c r="E5" s="96" t="str">
        <x:v>CHINA</x:v>
      </x:c>
      <x:c r="F5" s="96" t="n">
        <x:v>3</x:v>
      </x:c>
      <x:c r="G5" s="96" t="str">
        <x:v>铜</x:v>
      </x:c>
      <x:c r="H5" s="96" t="n">
        <x:v>0</x:v>
      </x:c>
      <x:c r="I5" s="96" t="n">
        <x:v>0</x:v>
      </x:c>
      <x:c r="J5" s="96" t="n">
        <x:v>1</x:v>
      </x:c>
      <x:c r="K5" s="96" t="str">
        <x:v>Ming Sheng；Yizhuo Zhang；Xin Li；Jing Liu；Yinghao Liu；Zhenguo Wu</x:v>
      </x:c>
      <x:c r="L5" s="96" t="str">
        <x:v>纳入主表</x:v>
      </x:c>
      <x:c r="M5" s="96" t="str">
        <x:v>赛事正文、季军赛、阵容页三方一致；NPC Jie Liu不计选手</x:v>
      </x:c>
      <x:c r="N5" s="96" t="str">
        <x:v>https://db.worldbridge.org/repository/tourn/Beijing.08/Beijing.htm
https://db.worldbridge.org/repository/tourn/Beijing.08/Asp/knockoutphase.asp?qtournid=708&amp;qphase=PO
https://db.worldbridge.org/repository/tourn/Beijing.08/ASP/participantsDetail.asp?qteamid=5535</x:v>
      </x:c>
    </x:row>
    <x:row r="6">
      <x:c r="A6" s="93" t="str">
        <x:v>分区资格赛</x:v>
      </x:c>
      <x:c r="B6" s="93" t="n">
        <x:v>2021</x:v>
      </x:c>
      <x:c r="C6" s="93" t="str">
        <x:v>Zone 6 supervised online</x:v>
      </x:c>
      <x:c r="D6" s="93" t="str">
        <x:v>Open Teams</x:v>
      </x:c>
      <x:c r="E6" s="93" t="str">
        <x:v>CHINA</x:v>
      </x:c>
      <x:c r="F6" s="93" t="n">
        <x:v>3</x:v>
      </x:c>
      <x:c r="G6" s="93" t="str">
        <x:v>铜</x:v>
      </x:c>
      <x:c r="H6" s="93" t="n">
        <x:v>0</x:v>
      </x:c>
      <x:c r="I6" s="93" t="n">
        <x:v>0</x:v>
      </x:c>
      <x:c r="J6" s="93" t="n">
        <x:v>1</x:v>
      </x:c>
      <x:c r="K6" s="93" t="str">
        <x:v>Meng Kang；Linlin Hu；Yichao Chen；Li Xian Gaooyi Ruanlan；Du Nga；Hu Junije Tianfan</x:v>
      </x:c>
      <x:c r="L6" s="93" t="str">
        <x:v>仅情景测试</x:v>
      </x:c>
      <x:c r="M6" s="93" t="str">
        <x:v>旧WBF积分库将其列为Qualifying Zone 6；部分姓名字段疑似串接，不能作为世界冠军个人奖牌</x:v>
      </x:c>
      <x:c r="N6" s="93" t="str">
        <x:v>https://www.wbfmasterpoints.com/bycountry.asp?country=China</x:v>
      </x:c>
    </x:row>
    <x:row r="7">
      <x:c r="A7" s="16" t="str">
        <x:v>分区资格赛</x:v>
      </x:c>
      <x:c r="B7" s="16" t="n">
        <x:v>2021</x:v>
      </x:c>
      <x:c r="C7" s="16" t="str">
        <x:v>Zone 6 supervised online</x:v>
      </x:c>
      <x:c r="D7" s="16" t="str">
        <x:v>Women Teams</x:v>
      </x:c>
      <x:c r="E7" s="16" t="str">
        <x:v>CHINA</x:v>
      </x:c>
      <x:c r="F7" s="16" t="n">
        <x:v>3</x:v>
      </x:c>
      <x:c r="G7" s="16" t="str">
        <x:v>铜</x:v>
      </x:c>
      <x:c r="H7" s="16" t="n">
        <x:v>0</x:v>
      </x:c>
      <x:c r="I7" s="16" t="n">
        <x:v>0</x:v>
      </x:c>
      <x:c r="J7" s="16" t="n">
        <x:v>1</x:v>
      </x:c>
      <x:c r="K7" s="16" t="str">
        <x:v>Xiaojing Wang；Jing Rong Ran；Wang Jian；Shaohong Wu；Lili Shen；Nan Wang</x:v>
      </x:c>
      <x:c r="L7" s="16" t="str">
        <x:v>仅情景测试</x:v>
      </x:c>
      <x:c r="M7" s="16" t="str">
        <x:v>资格赛，不在Past Championships世界赛清单</x:v>
      </x:c>
      <x:c r="N7" s="16" t="str">
        <x:v>https://www.wbfmasterpoints.com/bycountry.asp?country=China</x:v>
      </x:c>
    </x:row>
    <x:row r="8">
      <x:c r="A8" s="93" t="str">
        <x:v>分区资格赛</x:v>
      </x:c>
      <x:c r="B8" s="93" t="n">
        <x:v>2021</x:v>
      </x:c>
      <x:c r="C8" s="93" t="str">
        <x:v>Zone 6 supervised online</x:v>
      </x:c>
      <x:c r="D8" s="93" t="str">
        <x:v>Senior Teams</x:v>
      </x:c>
      <x:c r="E8" s="93" t="str">
        <x:v>CHINA</x:v>
      </x:c>
      <x:c r="F8" s="93" t="n">
        <x:v>3</x:v>
      </x:c>
      <x:c r="G8" s="93" t="str">
        <x:v>铜</x:v>
      </x:c>
      <x:c r="H8" s="93" t="n">
        <x:v>0</x:v>
      </x:c>
      <x:c r="I8" s="93" t="n">
        <x:v>0</x:v>
      </x:c>
      <x:c r="J8" s="93" t="n">
        <x:v>1</x:v>
      </x:c>
      <x:c r="K8" s="93" t="str">
        <x:v>Ming Sun；Yixiong Liang；Rongqiang Lin；Jian Hua Tao；Xiaonong Shen；Mingkun Shen</x:v>
      </x:c>
      <x:c r="L8" s="93" t="str">
        <x:v>仅情景测试</x:v>
      </x:c>
      <x:c r="M8" s="93" t="str">
        <x:v>资格赛，不在Past Championships世界赛清单</x:v>
      </x:c>
      <x:c r="N8" s="93" t="str">
        <x:v>https://www.wbfmasterpoints.com/bycountry.asp?country=China</x:v>
      </x:c>
    </x:row>
    <x:row r="9">
      <x:c r="A9" s="16" t="str">
        <x:v>分区资格赛</x:v>
      </x:c>
      <x:c r="B9" s="16" t="n">
        <x:v>2021</x:v>
      </x:c>
      <x:c r="C9" s="16" t="str">
        <x:v>Zone 6 supervised online</x:v>
      </x:c>
      <x:c r="D9" s="16" t="str">
        <x:v>Mixed Teams</x:v>
      </x:c>
      <x:c r="E9" s="16" t="str">
        <x:v>CHINA</x:v>
      </x:c>
      <x:c r="F9" s="16" t="n">
        <x:v>2</x:v>
      </x:c>
      <x:c r="G9" s="16" t="str">
        <x:v>银</x:v>
      </x:c>
      <x:c r="H9" s="16" t="n">
        <x:v>0</x:v>
      </x:c>
      <x:c r="I9" s="16" t="n">
        <x:v>1</x:v>
      </x:c>
      <x:c r="J9" s="16" t="n">
        <x:v>0</x:v>
      </x:c>
      <x:c r="K9" s="16" t="str">
        <x:v>Zhong Fu；Xuefeng Feng；Xu Hou；Yan Huang；Lidang Dong；Zhao Lin</x:v>
      </x:c>
      <x:c r="L9" s="16" t="str">
        <x:v>仅情景测试</x:v>
      </x:c>
      <x:c r="M9" s="16" t="str">
        <x:v>四项合计恰为0金1银3铜；加入后仍差2铜</x:v>
      </x:c>
      <x:c r="N9" s="16" t="str">
        <x:v>https://www.wbfmasterpoints.com/bycountry.asp?country=China</x:v>
      </x:c>
    </x:row>
    <x:row r="10">
      <x:c r="A10" s="93" t="str">
        <x:v>邀请/精英赛汇总</x:v>
      </x:c>
      <x:c r="B10" s="93" t="n">
        <x:v>2011</x:v>
      </x:c>
      <x:c r="C10" s="93" t="str">
        <x:v>SportAccord / IMSA circuit</x:v>
      </x:c>
      <x:c r="D10" s="93" t="str">
        <x:v>2011—2019各项目</x:v>
      </x:c>
      <x:c r="E10" s="93" t="str">
        <x:v>CHINA/混合队</x:v>
      </x:c>
      <x:c r="F10" s="93" t="n">
        <x:v>0</x:v>
      </x:c>
      <x:c r="G10" s="93" t="str">
        <x:v>汇总</x:v>
      </x:c>
      <x:c r="H10" s="93" t="n">
        <x:v>11</x:v>
      </x:c>
      <x:c r="I10" s="93" t="n">
        <x:v>12</x:v>
      </x:c>
      <x:c r="J10" s="93" t="n">
        <x:v>9.5</x:v>
      </x:c>
      <x:c r="K10" s="93" t="str">
        <x:v>各届WBF官方结果页；2016一枚铜牌中CHN占1/2</x:v>
      </x:c>
      <x:c r="L10" s="93" t="str">
        <x:v>不纳入主表</x:v>
      </x:c>
      <x:c r="M10" s="93" t="str">
        <x:v>整组加入后金、银、铜均大幅超过官方累计；不能选择性取若干届凑数</x:v>
      </x:c>
      <x:c r="N10" s="93" t="str">
        <x:v>https://www.worldbridge.org/competitions/past-championships-results/</x:v>
      </x:c>
    </x:row>
    <x:row r="11">
      <x:c r="A11" s="16" t="str">
        <x:v>邀请/表演赛</x:v>
      </x:c>
      <x:c r="B11" s="16" t="n">
        <x:v>1998</x:v>
      </x:c>
      <x:c r="C11" s="16" t="str">
        <x:v>1st IOC Grand Prix</x:v>
      </x:c>
      <x:c r="D11" s="16" t="str">
        <x:v>Open Teams</x:v>
      </x:c>
      <x:c r="E11" s="16" t="str">
        <x:v>BRAZIL–CHINA并列</x:v>
      </x:c>
      <x:c r="F11" s="16" t="n">
        <x:v>1</x:v>
      </x:c>
      <x:c r="G11" s="16" t="str">
        <x:v>金</x:v>
      </x:c>
      <x:c r="H11" s="16" t="n">
        <x:v>1</x:v>
      </x:c>
      <x:c r="I11" s="16" t="n">
        <x:v>0</x:v>
      </x:c>
      <x:c r="J11" s="16" t="n">
        <x:v>0</x:v>
      </x:c>
      <x:c r="K11" s="16" t="str">
        <x:v>Jian Wei Dai；Jihong Hu；Haojun Shi；Haomin Xu；Zejun Zhuang</x:v>
      </x:c>
      <x:c r="L11" s="16" t="str">
        <x:v>不纳入主表</x:v>
      </x:c>
      <x:c r="M11" s="16" t="str">
        <x:v>官方档案为并列冠军，但加入会使金牌多1</x:v>
      </x:c>
      <x:c r="N11" s="16" t="str">
        <x:v>https://web.archive.org/web/20110519085940id_/http://www.worldbridge.org/competitions/worldchampionships/TeamChampionships.asp?qmenuid=33</x:v>
      </x:c>
    </x:row>
    <x:row r="12">
      <x:c r="A12" s="93" t="str">
        <x:v>大众同步赛汇总</x:v>
      </x:c>
      <x:c r="B12" s="93" t="str">
        <x:v>多届</x:v>
      </x:c>
      <x:c r="C12" s="93" t="str">
        <x:v>World Simultaneous</x:v>
      </x:c>
      <x:c r="D12" s="93" t="str">
        <x:v>多项目</x:v>
      </x:c>
      <x:c r="E12" s="93" t="str">
        <x:v>CHN</x:v>
      </x:c>
      <x:c r="F12" s="93" t="n">
        <x:v>0</x:v>
      </x:c>
      <x:c r="G12" s="93" t="str">
        <x:v>汇总</x:v>
      </x:c>
      <x:c r="H12" s="93" t="n">
        <x:v>5</x:v>
      </x:c>
      <x:c r="I12" s="93" t="n">
        <x:v>4</x:v>
      </x:c>
      <x:c r="J12" s="93" t="n">
        <x:v>5</x:v>
      </x:c>
      <x:c r="K12" s="93" t="str">
        <x:v>旧WBF积分库China履历汇总</x:v>
      </x:c>
      <x:c r="L12" s="93" t="str">
        <x:v>不纳入主表</x:v>
      </x:c>
      <x:c r="M12" s="93" t="str">
        <x:v>并非同场世界锦标赛决赛；整体加入远超目标</x:v>
      </x:c>
      <x:c r="N12" s="93" t="str">
        <x:v>https://www.wbfmasterpoints.com/bycountry.asp?country=China</x:v>
      </x:c>
    </x:row>
    <x:row r="13">
      <x:c r="A13" s="16" t="str">
        <x:v>青年辅助项目汇总</x:v>
      </x:c>
      <x:c r="B13" s="16" t="str">
        <x:v>2018—2019</x:v>
      </x:c>
      <x:c r="C13" s="16" t="str">
        <x:v>Youth Triathlon + Youth Individual</x:v>
      </x:c>
      <x:c r="D13" s="16" t="str">
        <x:v>多项目</x:v>
      </x:c>
      <x:c r="E13" s="16" t="str">
        <x:v>CHN</x:v>
      </x:c>
      <x:c r="F13" s="16" t="n">
        <x:v>0</x:v>
      </x:c>
      <x:c r="G13" s="16" t="str">
        <x:v>汇总</x:v>
      </x:c>
      <x:c r="H13" s="16" t="n">
        <x:v>4</x:v>
      </x:c>
      <x:c r="I13" s="16" t="n">
        <x:v>6</x:v>
      </x:c>
      <x:c r="J13" s="16" t="n">
        <x:v>8</x:v>
      </x:c>
      <x:c r="K13" s="16" t="str">
        <x:v>旧WBF积分库China履历汇总</x:v>
      </x:c>
      <x:c r="L13" s="16" t="str">
        <x:v>不纳入主表</x:v>
      </x:c>
      <x:c r="M13" s="16" t="str">
        <x:v>整体加入远超目标；且不在Past Championships核心奖牌口径</x:v>
      </x:c>
      <x:c r="N13" s="16" t="str">
        <x:v>https://www.wbfmasterpoints.com/bycountry.asp?country=China</x:v>
      </x:c>
    </x:row>
    <x:row r="14">
      <x:c r="A14" s="93" t="str">
        <x:v>B组/安慰组</x:v>
      </x:c>
      <x:c r="B14" s="93" t="n">
        <x:v>2022</x:v>
      </x:c>
      <x:c r="C14" s="93" t="str">
        <x:v>World Bridge Series</x:v>
      </x:c>
      <x:c r="D14" s="93" t="str">
        <x:v>Mixed Pairs B-set</x:v>
      </x:c>
      <x:c r="E14" s="93" t="str">
        <x:v>个人/组合</x:v>
      </x:c>
      <x:c r="F14" s="93" t="n">
        <x:v>1</x:v>
      </x:c>
      <x:c r="G14" s="93" t="str">
        <x:v>金</x:v>
      </x:c>
      <x:c r="H14" s="93" t="n">
        <x:v>1</x:v>
      </x:c>
      <x:c r="I14" s="93" t="n">
        <x:v>0</x:v>
      </x:c>
      <x:c r="J14" s="93" t="n">
        <x:v>0</x:v>
      </x:c>
      <x:c r="K14" s="93" t="str">
        <x:v>Jinlong Zhao等（旧履历）</x:v>
      </x:c>
      <x:c r="L14" s="93" t="str">
        <x:v>不纳入主表</x:v>
      </x:c>
      <x:c r="M14" s="93" t="str">
        <x:v>B-set第一不等于正式A组世界冠军；加入会使金牌超出</x:v>
      </x:c>
      <x:c r="N14" s="93" t="str">
        <x:v>https://www.wbfmasterpoints.com/bycountry.asp?country=China</x:v>
      </x:c>
    </x:row>
  </x:sheetData>
  <x:mergeCells>
    <x:mergeCell ref="A1:N1"/>
    <x:mergeCell ref="A2:N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3" hidden="0" customWidth="1"/>
    <x:col min="2" max="2" width="12" hidden="0" customWidth="1"/>
    <x:col min="3" max="3" width="12" hidden="0" customWidth="1"/>
    <x:col min="4" max="4" width="12" hidden="0" customWidth="1"/>
    <x:col min="5" max="5" width="12" hidden="0" customWidth="1"/>
    <x:col min="6" max="6" width="13" hidden="0" customWidth="1"/>
    <x:col min="7" max="7" width="13" hidden="0" customWidth="1"/>
    <x:col min="8" max="8" width="13" hidden="0" customWidth="1"/>
    <x:col min="9" max="9" width="72" hidden="0" customWidth="1"/>
  </x:cols>
  <x:sheetData>
    <x:row r="1" ht="30" customHeight="1">
      <x:c r="A1" s="83" t="str">
        <x:v>放宽口径情景对照</x:v>
      </x:c>
      <x:c r="B1" s="83"/>
      <x:c r="C1" s="83"/>
      <x:c r="D1" s="83"/>
      <x:c r="E1" s="83"/>
      <x:c r="F1" s="83"/>
      <x:c r="G1" s="83"/>
      <x:c r="H1" s="83"/>
      <x:c r="I1" s="83"/>
    </x:row>
    <x:row r="2" ht="60" customHeight="1">
      <x:c r="A2" s="87" t="str">
        <x:v>任何备选口径都必须整组一致纳入，不能从某一系列里挑几枚凑数。结果显示：2021 Zone 6最接近，可解释1银3铜，但它是资格赛且仍差2铜。</x:v>
      </x:c>
      <x:c r="B2" s="87"/>
      <x:c r="C2" s="87"/>
      <x:c r="D2" s="87"/>
      <x:c r="E2" s="87"/>
      <x:c r="F2" s="87"/>
      <x:c r="G2" s="87"/>
      <x:c r="H2" s="87"/>
      <x:c r="I2" s="87"/>
    </x:row>
    <x:row r="4">
      <x:c r="A4" s="92" t="str">
        <x:v>口径/情景</x:v>
      </x:c>
      <x:c r="B4" s="92" t="str">
        <x:v>金</x:v>
      </x:c>
      <x:c r="C4" s="92" t="str">
        <x:v>银</x:v>
      </x:c>
      <x:c r="D4" s="92" t="str">
        <x:v>铜</x:v>
      </x:c>
      <x:c r="E4" s="92" t="str">
        <x:v>合计</x:v>
      </x:c>
      <x:c r="F4" s="92" t="str">
        <x:v>距官方金</x:v>
      </x:c>
      <x:c r="G4" s="92" t="str">
        <x:v>距官方银</x:v>
      </x:c>
      <x:c r="H4" s="92" t="str">
        <x:v>距官方铜</x:v>
      </x:c>
      <x:c r="I4" s="92" t="str">
        <x:v>结论</x:v>
      </x:c>
    </x:row>
    <x:row r="5">
      <x:c r="A5" s="16" t="str">
        <x:v>WBF正式项目逐项台账（更新后）</x:v>
      </x:c>
      <x:c r="B5" s="73" t="n">
        <x:v>18.5</x:v>
      </x:c>
      <x:c r="C5" s="73" t="n">
        <x:v>25.6666667</x:v>
      </x:c>
      <x:c r="D5" s="73" t="n">
        <x:v>34.3333333</x:v>
      </x:c>
      <x:c r="E5" s="73" t="n">
        <x:f>SUM(B5:D5)</x:f>
        <x:v>78.5</x:v>
      </x:c>
      <x:c r="F5" s="73" t="n">
        <x:f>18.5-B5</x:f>
        <x:v>0</x:v>
      </x:c>
      <x:c r="G5" s="73" t="n">
        <x:f>26.6666667-C5</x:f>
        <x:v>1</x:v>
      </x:c>
      <x:c r="H5" s="73" t="n">
        <x:f>39.3333333-D5</x:f>
        <x:v>5</x:v>
      </x:c>
      <x:c r="I5" s="16" t="str">
        <x:v>确认补入2008 U28团体铜牌；102条项目记录</x:v>
      </x:c>
    </x:row>
    <x:row r="6">
      <x:c r="A6" s="96" t="str">
        <x:v>WBF官方累计（目标）</x:v>
      </x:c>
      <x:c r="B6" s="100" t="n">
        <x:v>18.5</x:v>
      </x:c>
      <x:c r="C6" s="100" t="n">
        <x:v>26.6666667</x:v>
      </x:c>
      <x:c r="D6" s="100" t="n">
        <x:v>39.3333333</x:v>
      </x:c>
      <x:c r="E6" s="100" t="n">
        <x:f>SUM(B6:D6)</x:f>
        <x:v>84.5</x:v>
      </x:c>
      <x:c r="F6" s="100" t="n">
        <x:f>18.5-B6</x:f>
        <x:v>0</x:v>
      </x:c>
      <x:c r="G6" s="100" t="n">
        <x:f>26.6666667-C6</x:f>
        <x:v>0</x:v>
      </x:c>
      <x:c r="H6" s="100" t="n">
        <x:f>39.3333333-D6</x:f>
        <x:v>0</x:v>
      </x:c>
      <x:c r="I6" s="96" t="str">
        <x:v>2023马拉喀什最终公报</x:v>
      </x:c>
    </x:row>
    <x:row r="7">
      <x:c r="A7" s="16" t="str">
        <x:v>正式台账 + 2021 Zone 6四项</x:v>
      </x:c>
      <x:c r="B7" s="73" t="n">
        <x:v>18.5</x:v>
      </x:c>
      <x:c r="C7" s="73" t="n">
        <x:v>26.6666667</x:v>
      </x:c>
      <x:c r="D7" s="73" t="n">
        <x:v>37.3333333</x:v>
      </x:c>
      <x:c r="E7" s="73" t="n">
        <x:f>SUM(B7:D7)</x:f>
        <x:v>82.5</x:v>
      </x:c>
      <x:c r="F7" s="73" t="n">
        <x:f>18.5-B7</x:f>
        <x:v>0</x:v>
      </x:c>
      <x:c r="G7" s="73" t="n">
        <x:f>26.6666667-C7</x:f>
        <x:v>0</x:v>
      </x:c>
      <x:c r="H7" s="73" t="n">
        <x:f>39.3333333-D7</x:f>
        <x:v>2</x:v>
      </x:c>
      <x:c r="I7" s="16" t="str">
        <x:v>资格赛情景；可再解释1银3铜，仍差2铜</x:v>
      </x:c>
    </x:row>
    <x:row r="8">
      <x:c r="A8" s="93" t="str">
        <x:v>正式台账 + 邀请/精英赛全系列</x:v>
      </x:c>
      <x:c r="B8" s="97" t="n">
        <x:v>29.5</x:v>
      </x:c>
      <x:c r="C8" s="97" t="n">
        <x:v>37.6666667</x:v>
      </x:c>
      <x:c r="D8" s="97" t="n">
        <x:v>43.8333333</x:v>
      </x:c>
      <x:c r="E8" s="97" t="n">
        <x:f>SUM(B8:D8)</x:f>
        <x:v>111</x:v>
      </x:c>
      <x:c r="F8" s="97" t="n">
        <x:f>18.5-B8</x:f>
        <x:v>-11</x:v>
      </x:c>
      <x:c r="G8" s="97" t="n">
        <x:f>26.6666667-C8</x:f>
        <x:v>-11</x:v>
      </x:c>
      <x:c r="H8" s="97" t="n">
        <x:f>39.3333333-D8</x:f>
        <x:v>-4.5</x:v>
      </x:c>
      <x:c r="I8" s="93" t="str">
        <x:v>新增11金12银9.5铜，显著超过官方</x:v>
      </x:c>
    </x:row>
    <x:row r="9">
      <x:c r="A9" s="16" t="str">
        <x:v>正式台账 + 1998 IOC并列冠军</x:v>
      </x:c>
      <x:c r="B9" s="73" t="n">
        <x:v>19.5</x:v>
      </x:c>
      <x:c r="C9" s="73" t="n">
        <x:v>25.6666667</x:v>
      </x:c>
      <x:c r="D9" s="73" t="n">
        <x:v>34.3333333</x:v>
      </x:c>
      <x:c r="E9" s="73" t="n">
        <x:f>SUM(B9:D9)</x:f>
        <x:v>79.5</x:v>
      </x:c>
      <x:c r="F9" s="73" t="n">
        <x:f>18.5-B9</x:f>
        <x:v>-1</x:v>
      </x:c>
      <x:c r="G9" s="73" t="n">
        <x:f>26.6666667-C9</x:f>
        <x:v>1</x:v>
      </x:c>
      <x:c r="H9" s="73" t="n">
        <x:f>39.3333333-D9</x:f>
        <x:v>5</x:v>
      </x:c>
      <x:c r="I9" s="16" t="str">
        <x:v>相对官方多1金、仍缺银铜，方向不符</x:v>
      </x:c>
    </x:row>
    <x:row r="10">
      <x:c r="A10" s="93" t="str">
        <x:v>正式台账 + World Simultaneous</x:v>
      </x:c>
      <x:c r="B10" s="97" t="n">
        <x:v>23.5</x:v>
      </x:c>
      <x:c r="C10" s="97" t="n">
        <x:v>29.6666667</x:v>
      </x:c>
      <x:c r="D10" s="97" t="n">
        <x:v>39.3333333</x:v>
      </x:c>
      <x:c r="E10" s="97" t="n">
        <x:f>SUM(B10:D10)</x:f>
        <x:v>92.5</x:v>
      </x:c>
      <x:c r="F10" s="97" t="n">
        <x:f>18.5-B10</x:f>
        <x:v>-5</x:v>
      </x:c>
      <x:c r="G10" s="97" t="n">
        <x:f>26.6666667-C10</x:f>
        <x:v>-3</x:v>
      </x:c>
      <x:c r="H10" s="97" t="n">
        <x:f>39.3333333-D10</x:f>
        <x:v>0</x:v>
      </x:c>
      <x:c r="I10" s="93" t="str">
        <x:v>新增5金4银5铜，金银明显超过官方</x:v>
      </x:c>
    </x:row>
    <x:row r="11">
      <x:c r="A11" s="16" t="str">
        <x:v>正式台账 + 青年Triathlon/Individual</x:v>
      </x:c>
      <x:c r="B11" s="73" t="n">
        <x:v>22.5</x:v>
      </x:c>
      <x:c r="C11" s="73" t="n">
        <x:v>31.6666667</x:v>
      </x:c>
      <x:c r="D11" s="73" t="n">
        <x:v>42.3333333</x:v>
      </x:c>
      <x:c r="E11" s="73" t="n">
        <x:f>SUM(B11:D11)</x:f>
        <x:v>96.5</x:v>
      </x:c>
      <x:c r="F11" s="73" t="n">
        <x:f>18.5-B11</x:f>
        <x:v>-4</x:v>
      </x:c>
      <x:c r="G11" s="73" t="n">
        <x:f>26.6666667-C11</x:f>
        <x:v>-5</x:v>
      </x:c>
      <x:c r="H11" s="73" t="n">
        <x:f>39.3333333-D11</x:f>
        <x:v>-3</x:v>
      </x:c>
      <x:c r="I11" s="16" t="str">
        <x:v>新增4金6银8铜，全面超过官方</x:v>
      </x:c>
    </x:row>
  </x:sheetData>
  <x:mergeCells>
    <x:mergeCell ref="A1:I1"/>
    <x:mergeCell ref="A2:I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8" hidden="0" customWidth="1"/>
    <x:col min="2" max="2" width="11" hidden="0" customWidth="1"/>
    <x:col min="3" max="3" width="11" hidden="0" customWidth="1"/>
    <x:col min="4" max="4" width="11" hidden="0" customWidth="1"/>
    <x:col min="5" max="5" width="12" hidden="0" customWidth="1"/>
    <x:col min="6" max="6" width="26" hidden="0" customWidth="1"/>
    <x:col min="7" max="7" width="54" hidden="0" customWidth="1"/>
    <x:col min="8" max="8" width="44" hidden="0" customWidth="1"/>
    <x:col min="9" max="9" width="72" hidden="0" customWidth="1"/>
  </x:cols>
  <x:sheetData>
    <x:row r="1" ht="30" customHeight="1">
      <x:c r="A1" s="83" t="str">
        <x:v>截至2023马拉喀什：WBF官方中国奖牌表对齐（逐项清单复核版）</x:v>
      </x:c>
      <x:c r="B1" s="83"/>
      <x:c r="C1" s="83"/>
      <x:c r="D1" s="83"/>
      <x:c r="E1" s="83"/>
      <x:c r="F1" s="83"/>
      <x:c r="G1" s="83"/>
      <x:c r="H1" s="83"/>
      <x:c r="I1" s="83"/>
    </x:row>
    <x:row r="2" ht="62" customHeight="1">
      <x:c r="A2" s="87" t="str">
        <x:v>正式逐项台账18.50金、25.67银、34.33铜；WBF 2023最终累计18.50金、26.67银、39.33铜。公报版本差分表明：2016—2018的明确漏项到2022年8月已补平；剩余1银5铜来自2022 Wroclaw最终公报与2023 Marrakech最终公报的后续重算，仍不分配给个人。</x:v>
      </x:c>
      <x:c r="B2" s="87"/>
      <x:c r="C2" s="87"/>
      <x:c r="D2" s="87"/>
      <x:c r="E2" s="87"/>
      <x:c r="F2" s="87"/>
      <x:c r="G2" s="87"/>
      <x:c r="H2" s="87"/>
      <x:c r="I2" s="87"/>
    </x:row>
    <x:row r="4">
      <x:c r="A4" s="92" t="str">
        <x:v>口径/步骤</x:v>
      </x:c>
      <x:c r="B4" s="92" t="str">
        <x:v>金</x:v>
      </x:c>
      <x:c r="C4" s="92" t="str">
        <x:v>银</x:v>
      </x:c>
      <x:c r="D4" s="92" t="str">
        <x:v>铜</x:v>
      </x:c>
      <x:c r="E4" s="92" t="str">
        <x:v>合计</x:v>
      </x:c>
      <x:c r="F4" s="92" t="str">
        <x:v>处理</x:v>
      </x:c>
      <x:c r="G4" s="92" t="str">
        <x:v>理由</x:v>
      </x:c>
      <x:c r="H4" s="92" t="str">
        <x:v>个人榜处理</x:v>
      </x:c>
      <x:c r="I4" s="92" t="str">
        <x:v>来源</x:v>
      </x:c>
    </x:row>
    <x:row r="5">
      <x:c r="A5" s="16" t="str">
        <x:v>正式逐项台账</x:v>
      </x:c>
      <x:c r="B5" s="73" t="n">
        <x:v>18.5</x:v>
      </x:c>
      <x:c r="C5" s="73" t="n">
        <x:v>25.6666667</x:v>
      </x:c>
      <x:c r="D5" s="73" t="n">
        <x:v>34.3333333</x:v>
      </x:c>
      <x:c r="E5" s="73" t="n">
        <x:f>SUM(B5:D5)</x:f>
        <x:v>78.5</x:v>
      </x:c>
      <x:c r="F5" s="16" t="str">
        <x:v>102条项目记录</x:v>
      </x:c>
      <x:c r="G5" s="16" t="str">
        <x:v>纳入2008 U28团体铜牌</x:v>
      </x:c>
      <x:c r="H5" s="16" t="str">
        <x:v>可落实到6名选手</x:v>
      </x:c>
      <x:c r="I5" s="16" t="str">
        <x:v>获奖记录</x:v>
      </x:c>
    </x:row>
    <x:row r="6">
      <x:c r="A6" s="96" t="str">
        <x:v>WBF官方累计</x:v>
      </x:c>
      <x:c r="B6" s="100" t="n">
        <x:v>18.5</x:v>
      </x:c>
      <x:c r="C6" s="100" t="n">
        <x:v>26.6666667</x:v>
      </x:c>
      <x:c r="D6" s="100" t="n">
        <x:v>39.3333333</x:v>
      </x:c>
      <x:c r="E6" s="100" t="n">
        <x:f>SUM(B6:D6)</x:f>
        <x:v>84.5</x:v>
      </x:c>
      <x:c r="F6" s="96" t="str">
        <x:v>2023马拉喀什结束</x:v>
      </x:c>
      <x:c r="G6" s="96" t="str">
        <x:v>官方国家总数</x:v>
      </x:c>
      <x:c r="H6" s="96" t="str">
        <x:v>—</x:v>
      </x:c>
      <x:c r="I6" s="96" t="str">
        <x:v>https://championships.worldbridge.org/marrakech23-files/bulletins/Bul_15.pdf</x:v>
      </x:c>
    </x:row>
    <x:row r="7">
      <x:c r="A7" s="16" t="str">
        <x:v>尚未拆分差额</x:v>
      </x:c>
      <x:c r="B7" s="73" t="n">
        <x:v>0</x:v>
      </x:c>
      <x:c r="C7" s="73" t="n">
        <x:v>1</x:v>
      </x:c>
      <x:c r="D7" s="73" t="n">
        <x:v>5</x:v>
      </x:c>
      <x:c r="E7" s="73" t="n">
        <x:f>SUM(B7:D7)</x:f>
        <x:v>6</x:v>
      </x:c>
      <x:c r="F7" s="16" t="str">
        <x:v>国家级对齐项</x:v>
      </x:c>
      <x:c r="G7" s="16" t="str">
        <x:v>不分配个人</x:v>
      </x:c>
      <x:c r="H7" s="16" t="str">
        <x:v>等待WBF逐项历史说明</x:v>
      </x:c>
      <x:c r="I7" s="16" t="str">
        <x:v>https://championships.worldbridge.org/marrakech23-files/bulletins/Bul_15.pdf</x:v>
      </x:c>
    </x:row>
    <x:row r="8">
      <x:c r="A8" s="93" t="str">
        <x:v>候选：2021 Zone 6</x:v>
      </x:c>
      <x:c r="B8" s="97" t="n">
        <x:v>0</x:v>
      </x:c>
      <x:c r="C8" s="97" t="n">
        <x:v>1</x:v>
      </x:c>
      <x:c r="D8" s="97" t="n">
        <x:v>3</x:v>
      </x:c>
      <x:c r="E8" s="97" t="n">
        <x:f>SUM(B8:D8)</x:f>
        <x:v>4</x:v>
      </x:c>
      <x:c r="F8" s="93" t="str">
        <x:v>资格赛情景</x:v>
      </x:c>
      <x:c r="G8" s="93" t="str">
        <x:v>若放宽可解释部分差额</x:v>
      </x:c>
      <x:c r="H8" s="93" t="str">
        <x:v>加入后仍差2铜</x:v>
      </x:c>
      <x:c r="I8" s="93" t="str">
        <x:v>https://www.wbfmasterpoints.com/bycountry.asp?country=China</x:v>
      </x:c>
    </x:row>
    <x:row r="9">
      <x:c r="A9" s="16" t="str">
        <x:v>候选：邀请/精英赛全系列</x:v>
      </x:c>
      <x:c r="B9" s="73" t="n">
        <x:v>11</x:v>
      </x:c>
      <x:c r="C9" s="73" t="n">
        <x:v>12</x:v>
      </x:c>
      <x:c r="D9" s="73" t="n">
        <x:v>9.5</x:v>
      </x:c>
      <x:c r="E9" s="73" t="n">
        <x:f>SUM(B9:D9)</x:f>
        <x:v>32.5</x:v>
      </x:c>
      <x:c r="F9" s="16" t="str">
        <x:v>不采用</x:v>
      </x:c>
      <x:c r="G9" s="16" t="str">
        <x:v>整组加入显著超出官方</x:v>
      </x:c>
      <x:c r="H9" s="16" t="str">
        <x:v>不能选择性抽取</x:v>
      </x:c>
      <x:c r="I9" s="16" t="str">
        <x:v>https://www.worldbridge.org/competitions/past-championships-results/</x:v>
      </x:c>
    </x:row>
    <x:row r="10">
      <x:c r="A10" s="93" t="str">
        <x:v>候选：1998 IOC并列冠军</x:v>
      </x:c>
      <x:c r="B10" s="97" t="n">
        <x:v>1</x:v>
      </x:c>
      <x:c r="C10" s="97" t="n">
        <x:v>0</x:v>
      </x:c>
      <x:c r="D10" s="97" t="n">
        <x:v>0</x:v>
      </x:c>
      <x:c r="E10" s="97" t="n">
        <x:f>SUM(B10:D10)</x:f>
        <x:v>1</x:v>
      </x:c>
      <x:c r="F10" s="93" t="str">
        <x:v>不采用</x:v>
      </x:c>
      <x:c r="G10" s="93" t="str">
        <x:v>会增加金牌</x:v>
      </x:c>
      <x:c r="H10" s="93" t="str">
        <x:v>与差额结构不符</x:v>
      </x:c>
      <x:c r="I10" s="93" t="str">
        <x:v>https://web.archive.org/web/20110519085940id_/http://www.worldbridge.org/competitions/worldchampionships/TeamChampionships.asp?qmenuid=33</x:v>
      </x:c>
    </x:row>
  </x:sheetData>
  <x:mergeCells>
    <x:mergeCell ref="A1:I1"/>
    <x:mergeCell ref="A2:I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0" hidden="0" customWidth="1"/>
    <x:col min="3" max="3" width="34" hidden="0" customWidth="1"/>
    <x:col min="4" max="4" width="17" hidden="0" customWidth="1"/>
    <x:col min="5" max="5" width="28" hidden="0" customWidth="1"/>
    <x:col min="6" max="6" width="72" hidden="0" customWidth="1"/>
    <x:col min="7" max="7" width="64" hidden="0" customWidth="1"/>
    <x:col min="8" max="8" width="52" hidden="0" customWidth="1"/>
  </x:cols>
  <x:sheetData>
    <x:row r="1" ht="30" customHeight="1">
      <x:c r="A1" s="83" t="str">
        <x:v>WBF旧积分库个人履历反查（放宽筛选）</x:v>
      </x:c>
      <x:c r="B1" s="83"/>
      <x:c r="C1" s="83"/>
      <x:c r="D1" s="83"/>
      <x:c r="E1" s="83"/>
      <x:c r="F1" s="83"/>
      <x:c r="G1" s="83"/>
      <x:c r="H1" s="83"/>
    </x:row>
    <x:row r="2" ht="64" customHeight="1">
      <x:c r="A2" s="87" t="str">
        <x:v>读取China名下858名选手全部1—3名履历，不再排除地点为空的记录。此举发现2008 U28团体铜牌；同时也暴露资格赛、同步赛、B组和个别错名/串名，故仍须回到赛事正文核验。</x:v>
      </x:c>
      <x:c r="B2" s="87"/>
      <x:c r="C2" s="87"/>
      <x:c r="D2" s="87"/>
      <x:c r="E2" s="87"/>
      <x:c r="F2" s="87"/>
      <x:c r="G2" s="87"/>
      <x:c r="H2" s="87"/>
    </x:row>
    <x:row r="4">
      <x:c r="A4" s="92" t="str">
        <x:v>检查项</x:v>
      </x:c>
      <x:c r="B4" s="92" t="str">
        <x:v>数量</x:v>
      </x:c>
      <x:c r="C4" s="92" t="str">
        <x:v>结果</x:v>
      </x:c>
      <x:c r="D4" s="92" t="str">
        <x:v>是否新增</x:v>
      </x:c>
      <x:c r="E4" s="92" t="str">
        <x:v>处理</x:v>
      </x:c>
      <x:c r="F4" s="92" t="str">
        <x:v>WBF来源</x:v>
      </x:c>
      <x:c r="G4" s="92" t="str">
        <x:v>限制/反证</x:v>
      </x:c>
      <x:c r="H4" s="92" t="str">
        <x:v>结论</x:v>
      </x:c>
    </x:row>
    <x:row r="5">
      <x:c r="A5" s="16" t="str">
        <x:v>China选手条目</x:v>
      </x:c>
      <x:c r="B5" s="16" t="n">
        <x:v>858</x:v>
      </x:c>
      <x:c r="C5" s="16" t="str">
        <x:v>全部读取成功</x:v>
      </x:c>
      <x:c r="D5" s="16" t="str">
        <x:v>—</x:v>
      </x:c>
      <x:c r="E5" s="16" t="str">
        <x:v>完整History抓取</x:v>
      </x:c>
      <x:c r="F5" s="16" t="str">
        <x:v>https://www.wbfmasterpoints.com/bycountry.asp?country=China</x:v>
      </x:c>
      <x:c r="G5" s="16" t="str">
        <x:v>旧站标注更新至2023-11</x:v>
      </x:c>
      <x:c r="H5" s="16" t="str">
        <x:v>用于发现候选，不单独作为最终赛果</x:v>
      </x:c>
    </x:row>
    <x:row r="6">
      <x:c r="A6" s="93" t="str">
        <x:v>原筛选漏洞</x:v>
      </x:c>
      <x:c r="B6" s="93" t="n">
        <x:v>1</x:v>
      </x:c>
      <x:c r="C6" s="93" t="str">
        <x:v>地点为空的正式记录被排除</x:v>
      </x:c>
      <x:c r="D6" s="93" t="str">
        <x:v>是</x:v>
      </x:c>
      <x:c r="E6" s="93" t="str">
        <x:v>取消place非空条件</x:v>
      </x:c>
      <x:c r="F6" s="93" t="str">
        <x:v>2008 U28</x:v>
      </x:c>
      <x:c r="G6" s="93" t="str">
        <x:v>赛事正文/季军赛/阵容页三方核验</x:v>
      </x:c>
      <x:c r="H6" s="93" t="str">
        <x:v>补入1铜</x:v>
      </x:c>
    </x:row>
    <x:row r="7">
      <x:c r="A7" s="16" t="str">
        <x:v>2008 U28 Teams</x:v>
      </x:c>
      <x:c r="B7" s="16" t="n">
        <x:v>1</x:v>
      </x:c>
      <x:c r="C7" s="16" t="str">
        <x:v>China第3；6名选手</x:v>
      </x:c>
      <x:c r="D7" s="16" t="str">
        <x:v>是：1铜</x:v>
      </x:c>
      <x:c r="E7" s="16" t="str">
        <x:v>纳入主表</x:v>
      </x:c>
      <x:c r="F7" s="16" t="str">
        <x:v>https://db.worldbridge.org/repository/tourn/Beijing.08/Beijing.htm
https://db.worldbridge.org/repository/tourn/Beijing.08/Asp/knockoutphase.asp?qtournid=708&amp;qphase=PO
https://db.worldbridge.org/repository/tourn/Beijing.08/ASP/participantsDetail.asp?qteamid=5535</x:v>
      </x:c>
      <x:c r="G7" s="16" t="str">
        <x:v>旧个人履历还把U26误列中国第3</x:v>
      </x:c>
      <x:c r="H7" s="16" t="str">
        <x:v>赛事正文显示U26铜为Norway，故不纳入U26</x:v>
      </x:c>
    </x:row>
    <x:row r="8">
      <x:c r="A8" s="93" t="str">
        <x:v>2021 Zone 6</x:v>
      </x:c>
      <x:c r="B8" s="93" t="n">
        <x:v>4</x:v>
      </x:c>
      <x:c r="C8" s="93" t="str">
        <x:v>0金1银3铜</x:v>
      </x:c>
      <x:c r="D8" s="93" t="str">
        <x:v>否：仅情景</x:v>
      </x:c>
      <x:c r="E8" s="93" t="str">
        <x:v>资格赛单列</x:v>
      </x:c>
      <x:c r="F8" s="93" t="str">
        <x:v>https://www.wbfmasterpoints.com/bycountry.asp?country=China</x:v>
      </x:c>
      <x:c r="G8" s="93" t="str">
        <x:v>Open队部分姓名字段疑似串接</x:v>
      </x:c>
      <x:c r="H8" s="93" t="str">
        <x:v>不进入世界冠军个人榜</x:v>
      </x:c>
    </x:row>
    <x:row r="9">
      <x:c r="A9" s="16" t="str">
        <x:v>World Simultaneous</x:v>
      </x:c>
      <x:c r="B9" s="16" t="n">
        <x:v>14</x:v>
      </x:c>
      <x:c r="C9" s="16" t="str">
        <x:v>5金4银5铜</x:v>
      </x:c>
      <x:c r="D9" s="16" t="str">
        <x:v>否</x:v>
      </x:c>
      <x:c r="E9" s="16" t="str">
        <x:v>大众同步赛单列</x:v>
      </x:c>
      <x:c r="F9" s="16" t="str">
        <x:v>https://www.wbfmasterpoints.com/bycountry.asp?country=China</x:v>
      </x:c>
      <x:c r="G9" s="16" t="str">
        <x:v>并非同场世界冠军决赛</x:v>
      </x:c>
      <x:c r="H9" s="16" t="str">
        <x:v>整体加入超出官方</x:v>
      </x:c>
    </x:row>
    <x:row r="10">
      <x:c r="A10" s="93" t="str">
        <x:v>Youth Triathlon/Individual</x:v>
      </x:c>
      <x:c r="B10" s="93" t="n">
        <x:v>18</x:v>
      </x:c>
      <x:c r="C10" s="93" t="str">
        <x:v>4金6银8铜</x:v>
      </x:c>
      <x:c r="D10" s="93" t="str">
        <x:v>否</x:v>
      </x:c>
      <x:c r="E10" s="93" t="str">
        <x:v>辅助项目单列</x:v>
      </x:c>
      <x:c r="F10" s="93" t="str">
        <x:v>https://www.wbfmasterpoints.com/bycountry.asp?country=China</x:v>
      </x:c>
      <x:c r="G10" s="93" t="str">
        <x:v>不在Past Championships核心奖牌口径</x:v>
      </x:c>
      <x:c r="H10" s="93" t="str">
        <x:v>整体加入超出官方</x:v>
      </x:c>
    </x:row>
    <x:row r="11">
      <x:c r="A11" s="16" t="str">
        <x:v>Mixed Pairs B-set</x:v>
      </x:c>
      <x:c r="B11" s="16" t="n">
        <x:v>1</x:v>
      </x:c>
      <x:c r="C11" s="16" t="str">
        <x:v>2022冠军</x:v>
      </x:c>
      <x:c r="D11" s="16" t="str">
        <x:v>否</x:v>
      </x:c>
      <x:c r="E11" s="16" t="str">
        <x:v>B组/安慰组</x:v>
      </x:c>
      <x:c r="F11" s="16" t="str">
        <x:v>https://www.wbfmasterpoints.com/bycountry.asp?country=China</x:v>
      </x:c>
      <x:c r="G11" s="16" t="str">
        <x:v>名次1不等于A组世界冠军</x:v>
      </x:c>
      <x:c r="H11" s="16" t="str">
        <x:v>加入会使金牌超出</x:v>
      </x:c>
    </x:row>
    <x:row r="12">
      <x:c r="A12" s="96" t="str">
        <x:v>最终正式新增</x:v>
      </x:c>
      <x:c r="B12" s="96" t="n">
        <x:v>1</x:v>
      </x:c>
      <x:c r="C12" s="96" t="str">
        <x:v>2008 U28团体铜牌</x:v>
      </x:c>
      <x:c r="D12" s="96" t="str">
        <x:v>是</x:v>
      </x:c>
      <x:c r="E12" s="96" t="str">
        <x:v>主表和个人榜均已更新</x:v>
      </x:c>
      <x:c r="F12" s="96" t="str">
        <x:v>https://db.worldbridge.org/repository/tourn/Beijing.08/Beijing.htm</x:v>
      </x:c>
      <x:c r="G12" s="96" t="str">
        <x:v>剩余1银5铜仍未落实</x:v>
      </x:c>
      <x:c r="H12" s="96" t="str">
        <x:v>不虚构分配</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9" hidden="0" customWidth="1"/>
    <x:col min="2" max="2" width="10" hidden="0" customWidth="1"/>
    <x:col min="3" max="3" width="10" hidden="0" customWidth="1"/>
    <x:col min="4" max="4" width="10" hidden="0" customWidth="1"/>
    <x:col min="5" max="5" width="12" hidden="0" customWidth="1"/>
    <x:col min="6" max="6" width="12" hidden="0" customWidth="1"/>
    <x:col min="7" max="7" width="12" hidden="0" customWidth="1"/>
    <x:col min="8" max="8" width="12" hidden="0" customWidth="1"/>
    <x:col min="9" max="9" width="12" hidden="0" customWidth="1"/>
    <x:col min="10" max="10" width="13" hidden="0" customWidth="1"/>
    <x:col min="11" max="11" width="13" hidden="0" customWidth="1"/>
    <x:col min="12" max="12" width="13" hidden="0" customWidth="1"/>
    <x:col min="13" max="13" width="9" hidden="0" customWidth="1"/>
    <x:col min="14" max="14" width="28" hidden="0" customWidth="1"/>
    <x:col min="15" max="15" width="56" hidden="0" customWidth="1"/>
    <x:col min="16" max="16" width="64" hidden="0" customWidth="1"/>
    <x:col min="17" max="17" width="23" hidden="0" customWidth="1"/>
    <x:col min="18" max="18" width="70" hidden="0" customWidth="1"/>
  </x:cols>
  <x:sheetData>
    <x:row r="1" ht="30" customHeight="1">
      <x:c r="A1" s="103" t="str">
        <x:v>WBF中国累计奖牌表：历史修订轨迹</x:v>
      </x:c>
      <x:c r="B1" s="103"/>
      <x:c r="C1" s="103"/>
      <x:c r="D1" s="103"/>
      <x:c r="E1" s="103"/>
      <x:c r="F1" s="103"/>
      <x:c r="G1" s="103"/>
      <x:c r="H1" s="103"/>
      <x:c r="I1" s="103"/>
      <x:c r="J1" s="103"/>
      <x:c r="K1" s="103"/>
      <x:c r="L1" s="103"/>
      <x:c r="M1" s="103"/>
      <x:c r="N1" s="103"/>
      <x:c r="O1" s="103"/>
      <x:c r="P1" s="103"/>
      <x:c r="Q1" s="103"/>
      <x:c r="R1" s="103"/>
    </x:row>
    <x:row r="2" ht="74" customHeight="1">
      <x:c r="A2" s="107" t="str">
        <x:v>把每份公报的中国累计数与当时已经发生的正式项目逐项台账做差。2016的2铜、2017 U16 BAM的1金1铜、2018 Youth BAM的1银曾未及时进入累计表，并在2022年4月、8月分批回填。之后WBF又在2022 Wroclaw最终公报加入1银2铜，在2023 Marrakech最终公报加入另3铜，但没有发布赛事级修订清单。</x:v>
      </x:c>
      <x:c r="B2" s="107"/>
      <x:c r="C2" s="107"/>
      <x:c r="D2" s="107"/>
      <x:c r="E2" s="107"/>
      <x:c r="F2" s="107"/>
      <x:c r="G2" s="107"/>
      <x:c r="H2" s="107"/>
      <x:c r="I2" s="107"/>
      <x:c r="J2" s="107"/>
      <x:c r="K2" s="107"/>
      <x:c r="L2" s="107"/>
      <x:c r="M2" s="107"/>
      <x:c r="N2" s="107"/>
      <x:c r="O2" s="107"/>
      <x:c r="P2" s="107"/>
      <x:c r="Q2" s="107"/>
      <x:c r="R2" s="107"/>
    </x:row>
    <x:row r="4">
      <x:c r="A4" s="112" t="str">
        <x:v>公报断点</x:v>
      </x:c>
      <x:c r="B4" s="112" t="str">
        <x:v>官方金</x:v>
      </x:c>
      <x:c r="C4" s="112" t="str">
        <x:v>官方银</x:v>
      </x:c>
      <x:c r="D4" s="112" t="str">
        <x:v>官方铜</x:v>
      </x:c>
      <x:c r="E4" s="112" t="str">
        <x:v>官方合计</x:v>
      </x:c>
      <x:c r="F4" s="112" t="str">
        <x:v>逐项台账金</x:v>
      </x:c>
      <x:c r="G4" s="112" t="str">
        <x:v>逐项台账银</x:v>
      </x:c>
      <x:c r="H4" s="112" t="str">
        <x:v>逐项台账铜</x:v>
      </x:c>
      <x:c r="I4" s="112" t="str">
        <x:v>台账合计</x:v>
      </x:c>
      <x:c r="J4" s="112" t="str">
        <x:v>官方-台账金</x:v>
      </x:c>
      <x:c r="K4" s="112" t="str">
        <x:v>官方-台账银</x:v>
      </x:c>
      <x:c r="L4" s="112" t="str">
        <x:v>官方-台账铜</x:v>
      </x:c>
      <x:c r="M4" s="112" t="str">
        <x:v>HKG铜</x:v>
      </x:c>
      <x:c r="N4" s="112" t="str">
        <x:v>相邻官方变化</x:v>
      </x:c>
      <x:c r="O4" s="112" t="str">
        <x:v>当期赛果/漏项判断</x:v>
      </x:c>
      <x:c r="P4" s="112" t="str">
        <x:v>修订归属结论</x:v>
      </x:c>
      <x:c r="Q4" s="112" t="str">
        <x:v>确定度</x:v>
      </x:c>
      <x:c r="R4" s="112" t="str">
        <x:v>公报/数据库来源</x:v>
      </x:c>
    </x:row>
    <x:row r="5">
      <x:c r="A5" s="16" t="str">
        <x:v>2016 Wroclaw结束</x:v>
      </x:c>
      <x:c r="B5" s="114" t="n">
        <x:v>7.5</x:v>
      </x:c>
      <x:c r="C5" s="114" t="n">
        <x:v>16</x:v>
      </x:c>
      <x:c r="D5" s="114" t="n">
        <x:v>19.3333333</x:v>
      </x:c>
      <x:c r="E5" s="114" t="n">
        <x:f>SUM(B5:D5)</x:f>
        <x:v>42.8333333</x:v>
      </x:c>
      <x:c r="F5" s="114" t="n">
        <x:v>7.5</x:v>
      </x:c>
      <x:c r="G5" s="114" t="n">
        <x:v>16</x:v>
      </x:c>
      <x:c r="H5" s="114" t="n">
        <x:v>21.3333333</x:v>
      </x:c>
      <x:c r="I5" s="114" t="n">
        <x:f>SUM(F5:H5)</x:f>
        <x:v>44.8333333</x:v>
      </x:c>
      <x:c r="J5" s="114" t="n">
        <x:f>B5-F5</x:f>
        <x:v>0</x:v>
      </x:c>
      <x:c r="K5" s="114" t="n">
        <x:f>C5-G5</x:f>
        <x:v>0</x:v>
      </x:c>
      <x:c r="L5" s="114" t="n">
        <x:f>D5-H5</x:f>
        <x:v>-2</x:v>
      </x:c>
      <x:c r="M5" s="114" t="n">
        <x:v>2</x:v>
      </x:c>
      <x:c r="N5" s="16" t="str">
        <x:v>基准</x:v>
      </x:c>
      <x:c r="O5" s="16" t="str">
        <x:v>本届奖牌表列中国2铜，但同一公报累计铜数没有增加。</x:v>
      </x:c>
      <x:c r="P5" s="16" t="str">
        <x:v>2铜=女子团体+女子双人，确认当时未吸收。</x:v>
      </x:c>
      <x:c r="Q5" s="16" t="str">
        <x:v>高</x:v>
      </x:c>
      <x:c r="R5" s="16" t="str">
        <x:v>https://db.worldbridge.org/repository/tourn/wroclaw.16/microsite/bulletins/Bul_15.pdf</x:v>
      </x:c>
    </x:row>
    <x:row r="6">
      <x:c r="A6" s="113" t="str">
        <x:v>2017 Lyon结束</x:v>
      </x:c>
      <x:c r="B6" s="115" t="n">
        <x:v>12.5</x:v>
      </x:c>
      <x:c r="C6" s="115" t="n">
        <x:v>20.6666667</x:v>
      </x:c>
      <x:c r="D6" s="115" t="n">
        <x:v>24.3333333</x:v>
      </x:c>
      <x:c r="E6" s="115" t="n">
        <x:f>SUM(B6:D6)</x:f>
        <x:v>57.5</x:v>
      </x:c>
      <x:c r="F6" s="115" t="n">
        <x:v>13.5</x:v>
      </x:c>
      <x:c r="G6" s="115" t="n">
        <x:v>20.6666667</x:v>
      </x:c>
      <x:c r="H6" s="115" t="n">
        <x:v>27.3333333</x:v>
      </x:c>
      <x:c r="I6" s="115" t="n">
        <x:f>SUM(F6:H6)</x:f>
        <x:v>61.5</x:v>
      </x:c>
      <x:c r="J6" s="115" t="n">
        <x:f>B6-F6</x:f>
        <x:v>-1</x:v>
      </x:c>
      <x:c r="K6" s="115" t="n">
        <x:f>C6-G6</x:f>
        <x:v>0</x:v>
      </x:c>
      <x:c r="L6" s="115" t="n">
        <x:f>D6-H6</x:f>
        <x:v>-3</x:v>
      </x:c>
      <x:c r="M6" s="115" t="n">
        <x:v>2</x:v>
      </x:c>
      <x:c r="N6" s="113" t="str">
        <x:v>+5金 +4.67银 +5铜</x:v>
      </x:c>
      <x:c r="O6" s="113" t="str">
        <x:v>2017可核实新增6金、4.67银、6铜；公报恰少U16 BAM的1金1铜。</x:v>
      </x:c>
      <x:c r="P6" s="113" t="str">
        <x:v>2016的2铜继续缺失；2017 U16 BAM 1金1铜新增长期缺失。</x:v>
      </x:c>
      <x:c r="Q6" s="113" t="str">
        <x:v>高</x:v>
      </x:c>
      <x:c r="R6" s="113" t="str">
        <x:v>https://championships.worldbridge.org/lyonwt17-files/bulletins/Bul_15.pdf
https://db.worldbridge.org/repository/tourn/lyonyouth.17/microsite/results.htm</x:v>
      </x:c>
    </x:row>
    <x:row r="7">
      <x:c r="A7" s="16" t="str">
        <x:v>2018 Wujiang结束（Orlando B3）</x:v>
      </x:c>
      <x:c r="B7" s="114" t="n">
        <x:v>14.5</x:v>
      </x:c>
      <x:c r="C7" s="114" t="n">
        <x:v>20.6666667</x:v>
      </x:c>
      <x:c r="D7" s="114" t="n">
        <x:v>24.3333333</x:v>
      </x:c>
      <x:c r="E7" s="114" t="n">
        <x:f>SUM(B7:D7)</x:f>
        <x:v>59.5</x:v>
      </x:c>
      <x:c r="F7" s="114" t="n">
        <x:v>15.5</x:v>
      </x:c>
      <x:c r="G7" s="114" t="n">
        <x:v>21.6666667</x:v>
      </x:c>
      <x:c r="H7" s="114" t="n">
        <x:v>27.3333333</x:v>
      </x:c>
      <x:c r="I7" s="114" t="n">
        <x:f>SUM(F7:H7)</x:f>
        <x:v>64.5</x:v>
      </x:c>
      <x:c r="J7" s="114" t="n">
        <x:f>B7-F7</x:f>
        <x:v>-1</x:v>
      </x:c>
      <x:c r="K7" s="114" t="n">
        <x:f>C7-G7</x:f>
        <x:v>-1</x:v>
      </x:c>
      <x:c r="L7" s="114" t="n">
        <x:f>D7-H7</x:f>
        <x:v>-3</x:v>
      </x:c>
      <x:c r="M7" s="114" t="n">
        <x:v>2</x:v>
      </x:c>
      <x:c r="N7" s="16" t="str">
        <x:v>+2金 +0银 +0铜</x:v>
      </x:c>
      <x:c r="O7" s="16" t="str">
        <x:v>Wujiang中国实际2金1银；累计表只吸收2金。</x:v>
      </x:c>
      <x:c r="P7" s="16" t="str">
        <x:v>Youth BAM 1银被漏计；旧缺口扩大为1金1银3铜。</x:v>
      </x:c>
      <x:c r="Q7" s="16" t="str">
        <x:v>高</x:v>
      </x:c>
      <x:c r="R7" s="16" t="str">
        <x:v>https://championships.worldbridge.org/orlandows18-files/bulletins/Bul_03.pdf
https://championships.worldbridge.org/suzhou18-files/Bul_11.pdf</x:v>
      </x:c>
    </x:row>
    <x:row r="8">
      <x:c r="A8" s="113" t="str">
        <x:v>2018 Orlando结束</x:v>
      </x:c>
      <x:c r="B8" s="115" t="n">
        <x:v>14.5</x:v>
      </x:c>
      <x:c r="C8" s="115" t="n">
        <x:v>21.6666667</x:v>
      </x:c>
      <x:c r="D8" s="115" t="n">
        <x:v>25.3333333</x:v>
      </x:c>
      <x:c r="E8" s="115" t="n">
        <x:f>SUM(B8:D8)</x:f>
        <x:v>61.5</x:v>
      </x:c>
      <x:c r="F8" s="115" t="n">
        <x:v>15.5</x:v>
      </x:c>
      <x:c r="G8" s="115" t="n">
        <x:v>22.6666667</x:v>
      </x:c>
      <x:c r="H8" s="115" t="n">
        <x:v>28.3333333</x:v>
      </x:c>
      <x:c r="I8" s="115" t="n">
        <x:f>SUM(F8:H8)</x:f>
        <x:v>66.5</x:v>
      </x:c>
      <x:c r="J8" s="115" t="n">
        <x:f>B8-F8</x:f>
        <x:v>-1</x:v>
      </x:c>
      <x:c r="K8" s="115" t="n">
        <x:f>C8-G8</x:f>
        <x:v>-1</x:v>
      </x:c>
      <x:c r="L8" s="115" t="n">
        <x:f>D8-H8</x:f>
        <x:v>-3</x:v>
      </x:c>
      <x:c r="M8" s="115" t="n">
        <x:v>2</x:v>
      </x:c>
      <x:c r="N8" s="113" t="str">
        <x:v>+0金 +1银 +1铜</x:v>
      </x:c>
      <x:c r="O8" s="113" t="str">
        <x:v>Orlando本届中国1银1铜被正常吸收。</x:v>
      </x:c>
      <x:c r="P8" s="113" t="str">
        <x:v>2016—2018旧缺口完全不变。</x:v>
      </x:c>
      <x:c r="Q8" s="113" t="str">
        <x:v>高</x:v>
      </x:c>
      <x:c r="R8" s="113" t="str">
        <x:v>https://championships.worldbridge.org/orlandows18-files/bulletins/Bul_16.pdf</x:v>
      </x:c>
    </x:row>
    <x:row r="9">
      <x:c r="A9" s="16" t="str">
        <x:v>2022 Salsomaggiore结束</x:v>
      </x:c>
      <x:c r="B9" s="114" t="n">
        <x:v>17.5</x:v>
      </x:c>
      <x:c r="C9" s="114" t="n">
        <x:v>25.6666667</x:v>
      </x:c>
      <x:c r="D9" s="114" t="n">
        <x:v>32.3333333</x:v>
      </x:c>
      <x:c r="E9" s="114" t="n">
        <x:f>SUM(B9:D9)</x:f>
        <x:v>75.5</x:v>
      </x:c>
      <x:c r="F9" s="114" t="n">
        <x:v>17.5</x:v>
      </x:c>
      <x:c r="G9" s="114" t="n">
        <x:v>25.6666667</x:v>
      </x:c>
      <x:c r="H9" s="114" t="n">
        <x:v>33.3333333</x:v>
      </x:c>
      <x:c r="I9" s="114" t="n">
        <x:f>SUM(F9:H9)</x:f>
        <x:v>76.5</x:v>
      </x:c>
      <x:c r="J9" s="114" t="n">
        <x:f>B9-F9</x:f>
        <x:v>0</x:v>
      </x:c>
      <x:c r="K9" s="114" t="n">
        <x:f>C9-G9</x:f>
        <x:v>0</x:v>
      </x:c>
      <x:c r="L9" s="114" t="n">
        <x:f>D9-H9</x:f>
        <x:v>-1</x:v>
      </x:c>
      <x:c r="M9" s="114" t="n">
        <x:v>2</x:v>
      </x:c>
      <x:c r="N9" s="16" t="str">
        <x:v>相对Orlando +3金 +4银 +7铜</x:v>
      </x:c>
      <x:c r="O9" s="16" t="str">
        <x:v>扣除2019和2022同期项目后，旧表多回填1金1银2铜。</x:v>
      </x:c>
      <x:c r="P9" s="16" t="str">
        <x:v>1金1银1铜可锁定为2017/2018两项BAM；另1铜来自2016两枚漏计铜之一，无法判断团体/双人先后。</x:v>
      </x:c>
      <x:c r="Q9" s="16" t="str">
        <x:v>中高</x:v>
      </x:c>
      <x:c r="R9" s="16" t="str">
        <x:v>https://championships.worldbridge.org/salsomaggiore22-files/bulletins/Bul_14.pdf</x:v>
      </x:c>
    </x:row>
    <x:row r="10">
      <x:c r="A10" s="120" t="str">
        <x:v>2022 Youth后（Wroclaw B3）</x:v>
      </x:c>
      <x:c r="B10" s="121" t="n">
        <x:v>17.5</x:v>
      </x:c>
      <x:c r="C10" s="121" t="n">
        <x:v>25.6666667</x:v>
      </x:c>
      <x:c r="D10" s="121" t="n">
        <x:v>33.3333333</x:v>
      </x:c>
      <x:c r="E10" s="121" t="n">
        <x:f>SUM(B10:D10)</x:f>
        <x:v>76.5</x:v>
      </x:c>
      <x:c r="F10" s="121" t="n">
        <x:v>17.5</x:v>
      </x:c>
      <x:c r="G10" s="121" t="n">
        <x:v>25.6666667</x:v>
      </x:c>
      <x:c r="H10" s="121" t="n">
        <x:v>33.3333333</x:v>
      </x:c>
      <x:c r="I10" s="121" t="n">
        <x:f>SUM(F10:H10)</x:f>
        <x:v>76.5</x:v>
      </x:c>
      <x:c r="J10" s="121" t="n">
        <x:f>B10-F10</x:f>
        <x:v>0</x:v>
      </x:c>
      <x:c r="K10" s="121" t="n">
        <x:f>C10-G10</x:f>
        <x:v>0</x:v>
      </x:c>
      <x:c r="L10" s="121" t="n">
        <x:f>D10-H10</x:f>
        <x:v>0</x:v>
      </x:c>
      <x:c r="M10" s="121" t="n">
        <x:v>3</x:v>
      </x:c>
      <x:c r="N10" s="120" t="str">
        <x:v>+0金 +0银 +1铜</x:v>
      </x:c>
      <x:c r="O10" s="120" t="str">
        <x:v>青年赛奖牌表中CHN为0；HKG获1铜且HKG累计从2变3。</x:v>
      </x:c>
      <x:c r="P10" s="120" t="str">
        <x:v>CHN这1铜是另一枚历史回填，与2016剩余漏计铜结构精确匹配；不是HKG转记。</x:v>
      </x:c>
      <x:c r="Q10" s="120" t="str">
        <x:v>中高</x:v>
      </x:c>
      <x:c r="R10" s="120" t="str">
        <x:v>https://championships.worldbridge.org/wroclawws22-files/Bul_03.pdf
https://championships.worldbridge.org/salsomaggiore22-files/bulletins-youth/Bul_08.pdf</x:v>
      </x:c>
    </x:row>
    <x:row r="11">
      <x:c r="A11" s="126" t="str">
        <x:v>2022 Wroclaw结束</x:v>
      </x:c>
      <x:c r="B11" s="127" t="n">
        <x:v>17.5</x:v>
      </x:c>
      <x:c r="C11" s="127" t="n">
        <x:v>26.6666667</x:v>
      </x:c>
      <x:c r="D11" s="127" t="n">
        <x:v>35.3333333</x:v>
      </x:c>
      <x:c r="E11" s="127" t="n">
        <x:f>SUM(B11:D11)</x:f>
        <x:v>79.5</x:v>
      </x:c>
      <x:c r="F11" s="127" t="n">
        <x:v>17.5</x:v>
      </x:c>
      <x:c r="G11" s="127" t="n">
        <x:v>25.6666667</x:v>
      </x:c>
      <x:c r="H11" s="127" t="n">
        <x:v>33.3333333</x:v>
      </x:c>
      <x:c r="I11" s="127" t="n">
        <x:f>SUM(F11:H11)</x:f>
        <x:v>76.5</x:v>
      </x:c>
      <x:c r="J11" s="127" t="n">
        <x:f>B11-F11</x:f>
        <x:v>0</x:v>
      </x:c>
      <x:c r="K11" s="127" t="n">
        <x:f>C11-G11</x:f>
        <x:v>1</x:v>
      </x:c>
      <x:c r="L11" s="127" t="n">
        <x:f>D11-H11</x:f>
        <x:v>2</x:v>
      </x:c>
      <x:c r="M11" s="127" t="n">
        <x:v>3</x:v>
      </x:c>
      <x:c r="N11" s="126" t="str">
        <x:v>+0金 +1银 +2铜</x:v>
      </x:c>
      <x:c r="O11" s="126" t="str">
        <x:v>Wroclaw本届奖牌表无CHN；全球累计扣除本届赛果后还额外增加约6套金银铜。</x:v>
      </x:c>
      <x:c r="P11" s="126" t="str">
        <x:v>WBF做了批量历史重算，但公报没有赛事级changelog，无法唯一归属。</x:v>
      </x:c>
      <x:c r="Q11" s="126" t="str">
        <x:v>高（有修订）/低（归属）</x:v>
      </x:c>
      <x:c r="R11" s="126" t="str">
        <x:v>https://championships.worldbridge.org/wroclawws22-files/Bul_16.pdf</x:v>
      </x:c>
    </x:row>
    <x:row r="12">
      <x:c r="A12" s="113" t="str">
        <x:v>2023 Marrakech赛前</x:v>
      </x:c>
      <x:c r="B12" s="115" t="n">
        <x:v>17.5</x:v>
      </x:c>
      <x:c r="C12" s="115" t="n">
        <x:v>26.6666667</x:v>
      </x:c>
      <x:c r="D12" s="115" t="n">
        <x:v>35.3333333</x:v>
      </x:c>
      <x:c r="E12" s="115" t="n">
        <x:f>SUM(B12:D12)</x:f>
        <x:v>79.5</x:v>
      </x:c>
      <x:c r="F12" s="115" t="n">
        <x:v>18.5</x:v>
      </x:c>
      <x:c r="G12" s="115" t="n">
        <x:v>25.6666667</x:v>
      </x:c>
      <x:c r="H12" s="115" t="n">
        <x:v>33.3333333</x:v>
      </x:c>
      <x:c r="I12" s="115" t="n">
        <x:f>SUM(F12:H12)</x:f>
        <x:v>77.5</x:v>
      </x:c>
      <x:c r="J12" s="115" t="n">
        <x:f>B12-F12</x:f>
        <x:v>-1</x:v>
      </x:c>
      <x:c r="K12" s="115" t="n">
        <x:f>C12-G12</x:f>
        <x:v>1</x:v>
      </x:c>
      <x:c r="L12" s="115" t="n">
        <x:f>D12-H12</x:f>
        <x:v>2</x:v>
      </x:c>
      <x:c r="M12" s="115" t="n">
        <x:v>3</x:v>
      </x:c>
      <x:c r="N12" s="113" t="str">
        <x:v>CHN无变化</x:v>
      </x:c>
      <x:c r="O12" s="113" t="str">
        <x:v>2023 U16 BAM金已产生，但赛前累计表尚未吸收。</x:v>
      </x:c>
      <x:c r="P12" s="113" t="str">
        <x:v>1银2铜差额早在2022 Wroclaw最终公报出现，不是2023新增。</x:v>
      </x:c>
      <x:c r="Q12" s="113" t="str">
        <x:v>高</x:v>
      </x:c>
      <x:c r="R12" s="113" t="str">
        <x:v>https://championships.worldbridge.org/marrakech23-files/bulletins/Bul_05.pdf
https://championships.worldbridge.org/veldhovenwytc23-files/Bul_09.pdf</x:v>
      </x:c>
    </x:row>
    <x:row r="13">
      <x:c r="A13" s="132" t="str">
        <x:v>2023 Marrakech结束</x:v>
      </x:c>
      <x:c r="B13" s="133" t="n">
        <x:v>18.5</x:v>
      </x:c>
      <x:c r="C13" s="133" t="n">
        <x:v>26.6666667</x:v>
      </x:c>
      <x:c r="D13" s="133" t="n">
        <x:v>39.3333333</x:v>
      </x:c>
      <x:c r="E13" s="133" t="n">
        <x:f>SUM(B13:D13)</x:f>
        <x:v>84.5</x:v>
      </x:c>
      <x:c r="F13" s="133" t="n">
        <x:v>18.5</x:v>
      </x:c>
      <x:c r="G13" s="133" t="n">
        <x:v>25.6666667</x:v>
      </x:c>
      <x:c r="H13" s="133" t="n">
        <x:v>34.3333333</x:v>
      </x:c>
      <x:c r="I13" s="133" t="n">
        <x:f>SUM(F13:H13)</x:f>
        <x:v>78.5</x:v>
      </x:c>
      <x:c r="J13" s="133" t="n">
        <x:f>B13-F13</x:f>
        <x:v>0</x:v>
      </x:c>
      <x:c r="K13" s="133" t="n">
        <x:f>C13-G13</x:f>
        <x:v>1</x:v>
      </x:c>
      <x:c r="L13" s="133" t="n">
        <x:f>D13-H13</x:f>
        <x:v>5</x:v>
      </x:c>
      <x:c r="M13" s="133" t="n">
        <x:v>3</x:v>
      </x:c>
      <x:c r="N13" s="132" t="str">
        <x:v>+1金 +0银 +4铜</x:v>
      </x:c>
      <x:c r="O13" s="132" t="str">
        <x:v>1金=U16 BAM迟录；1铜=本届Venice Cup；剩余3铜无同期CHN正式领奖台。</x:v>
      </x:c>
      <x:c r="P13" s="132" t="str">
        <x:v>2023更新再加3铜历史/口径修订；截至此时不可归属的净差为1银5铜。</x:v>
      </x:c>
      <x:c r="Q13" s="132" t="str">
        <x:v>高（有修订）/低（归属）</x:v>
      </x:c>
      <x:c r="R13" s="132" t="str">
        <x:v>https://championships.worldbridge.org/marrakech23-files/bulletins/Bul_15.pdf</x:v>
      </x:c>
    </x:row>
  </x:sheetData>
  <x:mergeCells>
    <x:mergeCell ref="A1:R1"/>
    <x:mergeCell ref="A2:R2"/>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31" hidden="0" customWidth="1"/>
    <x:col min="2" max="2" width="36" hidden="0" customWidth="1"/>
    <x:col min="3" max="3" width="42" hidden="0" customWidth="1"/>
    <x:col min="4" max="4" width="19" hidden="0" customWidth="1"/>
    <x:col min="5" max="5" width="31" hidden="0" customWidth="1"/>
    <x:col min="6" max="6" width="62" hidden="0" customWidth="1"/>
    <x:col min="7" max="7" width="9" hidden="0" customWidth="1"/>
    <x:col min="8" max="8" width="9" hidden="0" customWidth="1"/>
    <x:col min="9" max="9" width="9" hidden="0" customWidth="1"/>
    <x:col min="10" max="10" width="74" hidden="0" customWidth="1"/>
    <x:col min="11" max="11" width="24" hidden="0" customWidth="1"/>
    <x:col min="12" max="12" width="70" hidden="0" customWidth="1"/>
  </x:cols>
  <x:sheetData>
    <x:row r="1" ht="30" customHeight="1">
      <x:c r="A1" s="103" t="str">
        <x:v>WBF历史修订：可归属赛事与仍未解批次</x:v>
      </x:c>
      <x:c r="B1" s="103"/>
      <x:c r="C1" s="103"/>
      <x:c r="D1" s="103"/>
      <x:c r="E1" s="103"/>
      <x:c r="F1" s="103"/>
      <x:c r="G1" s="103"/>
      <x:c r="H1" s="103"/>
      <x:c r="I1" s="103"/>
      <x:c r="J1" s="103"/>
      <x:c r="K1" s="103"/>
      <x:c r="L1" s="103"/>
    </x:row>
    <x:row r="2" ht="64" customHeight="1">
      <x:c r="A2" s="107" t="str">
        <x:v>绿色=可由相邻公报差分和当届奖牌表双重锁定；黄色=可锁定到一组赛事但无法判断哪枚先回填；红色=只能证明WBF批量重算，公报没有赛事级说明。</x:v>
      </x:c>
      <x:c r="B2" s="107"/>
      <x:c r="C2" s="107"/>
      <x:c r="D2" s="107"/>
      <x:c r="E2" s="107"/>
      <x:c r="F2" s="107"/>
      <x:c r="G2" s="107"/>
      <x:c r="H2" s="107"/>
      <x:c r="I2" s="107"/>
      <x:c r="J2" s="107"/>
      <x:c r="K2" s="107"/>
      <x:c r="L2" s="107"/>
    </x:row>
    <x:row r="4">
      <x:c r="A4" s="112" t="str">
        <x:v>修订批次</x:v>
      </x:c>
      <x:c r="B4" s="112" t="str">
        <x:v>比赛</x:v>
      </x:c>
      <x:c r="C4" s="112" t="str">
        <x:v>项目</x:v>
      </x:c>
      <x:c r="D4" s="112" t="str">
        <x:v>名次/奖牌</x:v>
      </x:c>
      <x:c r="E4" s="112" t="str">
        <x:v>队名/组合</x:v>
      </x:c>
      <x:c r="F4" s="112" t="str">
        <x:v>中国选手</x:v>
      </x:c>
      <x:c r="G4" s="112" t="str">
        <x:v>金</x:v>
      </x:c>
      <x:c r="H4" s="112" t="str">
        <x:v>银</x:v>
      </x:c>
      <x:c r="I4" s="112" t="str">
        <x:v>铜</x:v>
      </x:c>
      <x:c r="J4" s="112" t="str">
        <x:v>推断依据</x:v>
      </x:c>
      <x:c r="K4" s="112" t="str">
        <x:v>确定度</x:v>
      </x:c>
      <x:c r="L4" s="112" t="str">
        <x:v>来源</x:v>
      </x:c>
    </x:row>
    <x:row r="5">
      <x:c r="A5" s="120" t="str">
        <x:v>2016两枚铜未吸收</x:v>
      </x:c>
      <x:c r="B5" s="120" t="str">
        <x:v>2016 World Bridge Games</x:v>
      </x:c>
      <x:c r="C5" s="120" t="str">
        <x:v>World National Women Teams</x:v>
      </x:c>
      <x:c r="D5" s="120" t="str">
        <x:v>3名/铜</x:v>
      </x:c>
      <x:c r="E5" s="120" t="str">
        <x:v>CHINA</x:v>
      </x:c>
      <x:c r="F5" s="120" t="str">
        <x:v>Qi Shen; Yan Huang; Yan Lu; Wen Fei Wang; Nan Wang; Yan Liu</x:v>
      </x:c>
      <x:c r="G5" s="120" t="n">
        <x:v>0</x:v>
      </x:c>
      <x:c r="H5" s="120" t="n">
        <x:v>0</x:v>
      </x:c>
      <x:c r="I5" s="120" t="n">
        <x:v>1</x:v>
      </x:c>
      <x:c r="J5" s="120" t="str">
        <x:v>同一最终公报：本届奖牌表列China 2铜，累计表却未增铜。</x:v>
      </x:c>
      <x:c r="K5" s="120" t="str">
        <x:v>高</x:v>
      </x:c>
      <x:c r="L5" s="120" t="str">
        <x:v>https://db.worldbridge.org/repository/tourn/wroclaw.16/microsite/bulletins/Bul_15.pdf</x:v>
      </x:c>
    </x:row>
    <x:row r="6">
      <x:c r="A6" s="120" t="str">
        <x:v>2016两枚铜未吸收</x:v>
      </x:c>
      <x:c r="B6" s="120" t="str">
        <x:v>2016 World Bridge Games</x:v>
      </x:c>
      <x:c r="C6" s="120" t="str">
        <x:v>World National Women Pairs</x:v>
      </x:c>
      <x:c r="D6" s="120" t="str">
        <x:v>3名/铜</x:v>
      </x:c>
      <x:c r="E6" s="120" t="str">
        <x:v>Ling Gu – Tao Zhou</x:v>
      </x:c>
      <x:c r="F6" s="120" t="str">
        <x:v>Ling Gu; Tao Zhou</x:v>
      </x:c>
      <x:c r="G6" s="120" t="n">
        <x:v>0</x:v>
      </x:c>
      <x:c r="H6" s="120" t="n">
        <x:v>0</x:v>
      </x:c>
      <x:c r="I6" s="120" t="n">
        <x:v>1</x:v>
      </x:c>
      <x:c r="J6" s="120" t="str">
        <x:v>与上行合计2铜；2022年4月和8月各回填1铜，但无法判断先后。</x:v>
      </x:c>
      <x:c r="K6" s="120" t="str">
        <x:v>高（整组）/中（先后）</x:v>
      </x:c>
      <x:c r="L6" s="120" t="str">
        <x:v>https://db.worldbridge.org/repository/tourn/wroclaw.16/microsite/bulletins/Bul_15.pdf</x:v>
      </x:c>
    </x:row>
    <x:row r="7">
      <x:c r="A7" s="120" t="str">
        <x:v>2017 Lyon未吸收BAM</x:v>
      </x:c>
      <x:c r="B7" s="120" t="str">
        <x:v>2017 World Youth Open Championships</x:v>
      </x:c>
      <x:c r="C7" s="120" t="str">
        <x:v>U16 BAM</x:v>
      </x:c>
      <x:c r="D7" s="120" t="str">
        <x:v>1名/金</x:v>
      </x:c>
      <x:c r="E7" s="120" t="str">
        <x:v>SHENGXING VENUS</x:v>
      </x:c>
      <x:c r="F7" s="120" t="str">
        <x:v>Haochen Liu; Yizhou Liu; Mingyu Lu; Ruicheng Mao; Tianle Yao; Zhaochen Yu</x:v>
      </x:c>
      <x:c r="G7" s="120" t="n">
        <x:v>1</x:v>
      </x:c>
      <x:c r="H7" s="120" t="n">
        <x:v>0</x:v>
      </x:c>
      <x:c r="I7" s="120" t="n">
        <x:v>0</x:v>
      </x:c>
      <x:c r="J7" s="120" t="str">
        <x:v>2017实际新增6金而累计只增5金；差额正是该BAM金。</x:v>
      </x:c>
      <x:c r="K7" s="120" t="str">
        <x:v>高</x:v>
      </x:c>
      <x:c r="L7" s="120" t="str">
        <x:v>https://championships.worldbridge.org/lyonwt17-files/bulletins/Bul_15.pdf
https://db.worldbridge.org/repository/tourn/lyonyouth.17/microsite/results.htm</x:v>
      </x:c>
    </x:row>
    <x:row r="8">
      <x:c r="A8" s="120" t="str">
        <x:v>2017 Lyon未吸收BAM</x:v>
      </x:c>
      <x:c r="B8" s="120" t="str">
        <x:v>2017 World Youth Open Championships</x:v>
      </x:c>
      <x:c r="C8" s="120" t="str">
        <x:v>U16 BAM</x:v>
      </x:c>
      <x:c r="D8" s="120" t="str">
        <x:v>3名/铜</x:v>
      </x:c>
      <x:c r="E8" s="120" t="str">
        <x:v>SHENGXING SATURN</x:v>
      </x:c>
      <x:c r="F8" s="120" t="str">
        <x:v>Licong Cheng; Penghao Wang; Ruizhe Wang; Yingqi Wang; Hao Xu; Jiahao Yang</x:v>
      </x:c>
      <x:c r="G8" s="120" t="n">
        <x:v>0</x:v>
      </x:c>
      <x:c r="H8" s="120" t="n">
        <x:v>0</x:v>
      </x:c>
      <x:c r="I8" s="120" t="n">
        <x:v>1</x:v>
      </x:c>
      <x:c r="J8" s="120" t="str">
        <x:v>2017实际新增6铜而累计只增5铜；差额正是该BAM铜。</x:v>
      </x:c>
      <x:c r="K8" s="120" t="str">
        <x:v>高</x:v>
      </x:c>
      <x:c r="L8" s="120" t="str">
        <x:v>https://championships.worldbridge.org/lyonwt17-files/bulletins/Bul_15.pdf
https://db.worldbridge.org/repository/tourn/lyonyouth.17/microsite/results.htm</x:v>
      </x:c>
    </x:row>
    <x:row r="9">
      <x:c r="A9" s="120" t="str">
        <x:v>2018 Wujiang未吸收BAM</x:v>
      </x:c>
      <x:c r="B9" s="120" t="str">
        <x:v>2018 World Youth Team Championships</x:v>
      </x:c>
      <x:c r="C9" s="120" t="str">
        <x:v>Youth BAM</x:v>
      </x:c>
      <x:c r="D9" s="120" t="str">
        <x:v>2名/银</x:v>
      </x:c>
      <x:c r="E9" s="120" t="str">
        <x:v>CHINA YOUNGSTERS</x:v>
      </x:c>
      <x:c r="F9" s="120" t="str">
        <x:v>Zhiyu Cheng; Baozhuo Jiang; Yufan Liao; Randy Pan; Qian Sun; Xihao Wang</x:v>
      </x:c>
      <x:c r="G9" s="120" t="n">
        <x:v>0</x:v>
      </x:c>
      <x:c r="H9" s="120" t="n">
        <x:v>1</x:v>
      </x:c>
      <x:c r="I9" s="120" t="n">
        <x:v>0</x:v>
      </x:c>
      <x:c r="J9" s="120" t="str">
        <x:v>Lyon后到Wujiang累计只增2金；Wujiang实际为2金1银，公报列该队BAM第2。</x:v>
      </x:c>
      <x:c r="K9" s="120" t="str">
        <x:v>高</x:v>
      </x:c>
      <x:c r="L9" s="120" t="str">
        <x:v>https://championships.worldbridge.org/orlandows18-files/bulletins/Bul_03.pdf
https://championships.worldbridge.org/suzhou18-files/Bul_11.pdf</x:v>
      </x:c>
    </x:row>
    <x:row r="10">
      <x:c r="A10" s="126" t="str">
        <x:v>2022年4月回填批次</x:v>
      </x:c>
      <x:c r="B10" s="126" t="str">
        <x:v>2016+2017+2018旧漏项</x:v>
      </x:c>
      <x:c r="C10" s="126" t="str">
        <x:v>BAM + 2016女子项目之一</x:v>
      </x:c>
      <x:c r="D10" s="126" t="str">
        <x:v>1金1银2铜</x:v>
      </x:c>
      <x:c r="E10" s="126" t="str">
        <x:v>—</x:v>
      </x:c>
      <x:c r="F10" s="126" t="str">
        <x:v>—</x:v>
      </x:c>
      <x:c r="G10" s="126" t="n">
        <x:v>1</x:v>
      </x:c>
      <x:c r="H10" s="126" t="n">
        <x:v>1</x:v>
      </x:c>
      <x:c r="I10" s="126" t="n">
        <x:v>2</x:v>
      </x:c>
      <x:c r="J10" s="126" t="str">
        <x:v>结构精确等于2017 BAM金铜 + 2018 BAM银 + 2016两铜之一。</x:v>
      </x:c>
      <x:c r="K10" s="126" t="str">
        <x:v>中高</x:v>
      </x:c>
      <x:c r="L10" s="126" t="str">
        <x:v>https://championships.worldbridge.org/salsomaggiore22-files/bulletins/Bul_14.pdf</x:v>
      </x:c>
    </x:row>
    <x:row r="11">
      <x:c r="A11" s="126" t="str">
        <x:v>2022年8月回填批次</x:v>
      </x:c>
      <x:c r="B11" s="126" t="str">
        <x:v>2016 World Bridge Games</x:v>
      </x:c>
      <x:c r="C11" s="126" t="str">
        <x:v>剩余女子团体/女子双人铜</x:v>
      </x:c>
      <x:c r="D11" s="126" t="str">
        <x:v>1铜</x:v>
      </x:c>
      <x:c r="E11" s="126" t="str">
        <x:v>—</x:v>
      </x:c>
      <x:c r="F11" s="126" t="str">
        <x:v>—</x:v>
      </x:c>
      <x:c r="G11" s="126" t="n">
        <x:v>0</x:v>
      </x:c>
      <x:c r="H11" s="126" t="n">
        <x:v>0</x:v>
      </x:c>
      <x:c r="I11" s="126" t="n">
        <x:v>1</x:v>
      </x:c>
      <x:c r="J11" s="126" t="str">
        <x:v>青年赛当届CHN无牌，HKG铜已单独进HKG行；CHN增量恰好补平剩余旧漏项。</x:v>
      </x:c>
      <x:c r="K11" s="126" t="str">
        <x:v>中高</x:v>
      </x:c>
      <x:c r="L11" s="126" t="str">
        <x:v>https://championships.worldbridge.org/salsomaggiore22-files/bulletins-youth/Bul_08.pdf
https://championships.worldbridge.org/wroclawws22-files/Bul_03.pdf</x:v>
      </x:c>
    </x:row>
    <x:row r="12">
      <x:c r="A12" s="132" t="str">
        <x:v>2022 Wroclaw最终重算</x:v>
      </x:c>
      <x:c r="B12" s="132" t="str">
        <x:v>WBF未公布具体赛事</x:v>
      </x:c>
      <x:c r="C12" s="132" t="str">
        <x:v>新增1银2铜</x:v>
      </x:c>
      <x:c r="D12" s="132" t="str">
        <x:v>—</x:v>
      </x:c>
      <x:c r="E12" s="132" t="str">
        <x:v>—</x:v>
      </x:c>
      <x:c r="F12" s="132" t="str">
        <x:v>—</x:v>
      </x:c>
      <x:c r="G12" s="132" t="n">
        <x:v>0</x:v>
      </x:c>
      <x:c r="H12" s="132" t="n">
        <x:v>1</x:v>
      </x:c>
      <x:c r="I12" s="132" t="n">
        <x:v>2</x:v>
      </x:c>
      <x:c r="J12" s="132" t="str">
        <x:v>当届奖牌表无CHN；全球累计扣除当届8金8银12铜后，仍额外约增6金6银6铜。</x:v>
      </x:c>
      <x:c r="K12" s="132" t="str">
        <x:v>低（赛事归属）</x:v>
      </x:c>
      <x:c r="L12" s="132" t="str">
        <x:v>https://championships.worldbridge.org/wroclawws22-files/Bul_16.pdf</x:v>
      </x:c>
    </x:row>
    <x:row r="13">
      <x:c r="A13" s="132" t="str">
        <x:v>2023 Marrakech最终重算</x:v>
      </x:c>
      <x:c r="B13" s="132" t="str">
        <x:v>WBF未公布具体赛事</x:v>
      </x:c>
      <x:c r="C13" s="132" t="str">
        <x:v>除U16 BAM金和Venice铜外另3铜</x:v>
      </x:c>
      <x:c r="D13" s="132" t="str">
        <x:v>—</x:v>
      </x:c>
      <x:c r="E13" s="132" t="str">
        <x:v>—</x:v>
      </x:c>
      <x:c r="F13" s="132" t="str">
        <x:v>—</x:v>
      </x:c>
      <x:c r="G13" s="132" t="n">
        <x:v>0</x:v>
      </x:c>
      <x:c r="H13" s="132" t="n">
        <x:v>0</x:v>
      </x:c>
      <x:c r="I13" s="132" t="n">
        <x:v>3</x:v>
      </x:c>
      <x:c r="J13" s="132" t="str">
        <x:v>最终公报只给国家累计表，没有这3铜的历史项目清单。</x:v>
      </x:c>
      <x:c r="K13" s="132" t="str">
        <x:v>低（赛事归属）</x:v>
      </x:c>
      <x:c r="L13" s="132" t="str">
        <x:v>https://championships.worldbridge.org/marrakech23-files/bulletins/Bul_15.pdf</x:v>
      </x:c>
    </x:row>
    <x:row r="14">
      <x:c r="A14" s="136" t="str">
        <x:v>排除：2022 HKG铜</x:v>
      </x:c>
      <x:c r="B14" s="136" t="str">
        <x:v>2022 World Youth Transnational</x:v>
      </x:c>
      <x:c r="C14" s="136" t="str">
        <x:v>Combined Individual</x:v>
      </x:c>
      <x:c r="D14" s="136" t="str">
        <x:v>3名/铜</x:v>
      </x:c>
      <x:c r="E14" s="136" t="str">
        <x:v>Cheung Wai Lam</x:v>
      </x:c>
      <x:c r="F14" s="136" t="str">
        <x:v>Cheung Wai Lam [HKG]</x:v>
      </x:c>
      <x:c r="G14" s="136" t="n">
        <x:v>0</x:v>
      </x:c>
      <x:c r="H14" s="136" t="n">
        <x:v>0</x:v>
      </x:c>
      <x:c r="I14" s="136" t="n">
        <x:v>0</x:v>
      </x:c>
      <x:c r="J14" s="136" t="str">
        <x:v>最终公报列China Hong Kong 0/0/1；后续HKG从2铜变3铜，CHN和HKG始终分行。</x:v>
      </x:c>
      <x:c r="K14" s="136" t="str">
        <x:v>高（排除）</x:v>
      </x:c>
      <x:c r="L14" s="136" t="str">
        <x:v>https://championships.worldbridge.org/salsomaggiore22-files/bulletins-youth/Bul_08.pdf</x:v>
      </x:c>
    </x:row>
    <x:row r="15">
      <x:c r="A15" s="132" t="str">
        <x:v>低置信候选：2021 Zone 6</x:v>
      </x:c>
      <x:c r="B15" s="132" t="str">
        <x:v>2021 supervised online Zone 6</x:v>
      </x:c>
      <x:c r="C15" s="132" t="str">
        <x:v>Open/Women/Senior/Mixed qualification</x:v>
      </x:c>
      <x:c r="D15" s="132" t="str">
        <x:v>0金1银3铜</x:v>
      </x:c>
      <x:c r="E15" s="132" t="str">
        <x:v>CHINA</x:v>
      </x:c>
      <x:c r="F15" s="132" t="str">
        <x:v>见WBF旧积分库履历</x:v>
      </x:c>
      <x:c r="G15" s="132" t="n">
        <x:v>0</x:v>
      </x:c>
      <x:c r="H15" s="132" t="n">
        <x:v>1</x:v>
      </x:c>
      <x:c r="I15" s="132" t="n">
        <x:v>3</x:v>
      </x:c>
      <x:c r="J15" s="132" t="str">
        <x:v>数量只能解释后期差额的一部分；它是资格赛，且不能解释全部1银5铜，不应选择性纳入。</x:v>
      </x:c>
      <x:c r="K15" s="132" t="str">
        <x:v>低</x:v>
      </x:c>
      <x:c r="L15" s="132" t="str">
        <x:v>https://www.wbfmasterpoints.com/bycountry.asp?country=China</x:v>
      </x:c>
    </x:row>
  </x:sheetData>
  <x:mergeCells>
    <x:mergeCell ref="A1:L1"/>
    <x:mergeCell ref="A2:L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0" hidden="0" customWidth="1"/>
    <x:col min="2" max="2" width="13" hidden="0" customWidth="1"/>
    <x:col min="3" max="3" width="13" hidden="0" customWidth="1"/>
    <x:col min="4" max="4" width="13" hidden="0" customWidth="1"/>
    <x:col min="5" max="5" width="15" hidden="0" customWidth="1"/>
    <x:col min="6" max="6" width="13" hidden="0" customWidth="1"/>
    <x:col min="7" max="7" width="13" hidden="0" customWidth="1"/>
    <x:col min="8" max="8" width="16" hidden="0" customWidth="1"/>
    <x:col min="9" max="9" width="13" hidden="0" customWidth="1"/>
    <x:col min="10" max="10" width="13" hidden="0" customWidth="1"/>
    <x:col min="11" max="11" width="72" hidden="0" customWidth="1"/>
    <x:col min="12" max="12" width="72" hidden="0" customWidth="1"/>
  </x:cols>
  <x:sheetData>
    <x:row r="1" ht="30" customHeight="1">
      <x:c r="A1" s="103" t="str">
        <x:v>WBF全球累计表差分：识别“批量重算”</x:v>
      </x:c>
      <x:c r="B1" s="103"/>
      <x:c r="C1" s="103"/>
      <x:c r="D1" s="103"/>
      <x:c r="E1" s="103"/>
      <x:c r="F1" s="103"/>
      <x:c r="G1" s="103"/>
      <x:c r="H1" s="103"/>
      <x:c r="I1" s="103"/>
      <x:c r="J1" s="103"/>
      <x:c r="K1" s="103"/>
      <x:c r="L1" s="103"/>
    </x:row>
    <x:row r="2" ht="64" customHeight="1">
      <x:c r="A2" s="107" t="str">
        <x:v>相邻公报的全球Total行与当届奖牌表相减。2022 Wroclaw最终表在吸收当届8金8银12铜之外，又多出约6套金银铜；这证明是全球性历史重算，不是香港转记中国。</x:v>
      </x:c>
      <x:c r="B2" s="107"/>
      <x:c r="C2" s="107"/>
      <x:c r="D2" s="107"/>
      <x:c r="E2" s="107"/>
      <x:c r="F2" s="107"/>
      <x:c r="G2" s="107"/>
      <x:c r="H2" s="107"/>
      <x:c r="I2" s="107"/>
      <x:c r="J2" s="107"/>
      <x:c r="K2" s="107"/>
      <x:c r="L2" s="107"/>
    </x:row>
    <x:row r="4">
      <x:c r="A4" s="112" t="str">
        <x:v>公报断点</x:v>
      </x:c>
      <x:c r="B4" s="112" t="str">
        <x:v>全球金Total</x:v>
      </x:c>
      <x:c r="C4" s="112" t="str">
        <x:v>全球银Total</x:v>
      </x:c>
      <x:c r="D4" s="112" t="str">
        <x:v>全球铜Total</x:v>
      </x:c>
      <x:c r="E4" s="112" t="str">
        <x:v>相邻增量金</x:v>
      </x:c>
      <x:c r="F4" s="112" t="str">
        <x:v>增量银</x:v>
      </x:c>
      <x:c r="G4" s="112" t="str">
        <x:v>增量铜</x:v>
      </x:c>
      <x:c r="H4" s="112" t="str">
        <x:v>当届奖牌金</x:v>
      </x:c>
      <x:c r="I4" s="112" t="str">
        <x:v>当届银</x:v>
      </x:c>
      <x:c r="J4" s="112" t="str">
        <x:v>当届铜</x:v>
      </x:c>
      <x:c r="K4" s="112" t="str">
        <x:v>差分结论</x:v>
      </x:c>
      <x:c r="L4" s="112" t="str">
        <x:v>来源</x:v>
      </x:c>
    </x:row>
    <x:row r="5">
      <x:c r="A5" s="16" t="str">
        <x:v>2016 Wroclaw结束</x:v>
      </x:c>
      <x:c r="B5" s="114" t="n">
        <x:v>262</x:v>
      </x:c>
      <x:c r="C5" s="114" t="n">
        <x:v>262</x:v>
      </x:c>
      <x:c r="D5" s="114" t="n">
        <x:v>271</x:v>
      </x:c>
      <x:c r="E5" s="114" t="str">
        <x:v>—</x:v>
      </x:c>
      <x:c r="F5" s="114" t="str">
        <x:v>—</x:v>
      </x:c>
      <x:c r="G5" s="114" t="str">
        <x:v>—</x:v>
      </x:c>
      <x:c r="H5" s="114" t="str">
        <x:v>—</x:v>
      </x:c>
      <x:c r="I5" s="114" t="str">
        <x:v>—</x:v>
      </x:c>
      <x:c r="J5" s="114" t="str">
        <x:v>—</x:v>
      </x:c>
      <x:c r="K5" s="16" t="str">
        <x:v>旧基准。</x:v>
      </x:c>
      <x:c r="L5" s="16" t="str">
        <x:v>https://db.worldbridge.org/repository/tourn/wroclaw.16/microsite/bulletins/Bul_15.pdf</x:v>
      </x:c>
    </x:row>
    <x:row r="6">
      <x:c r="A6" s="113" t="str">
        <x:v>2017 Lyon结束</x:v>
      </x:c>
      <x:c r="B6" s="115" t="n">
        <x:v>279</x:v>
      </x:c>
      <x:c r="C6" s="115" t="n">
        <x:v>274</x:v>
      </x:c>
      <x:c r="D6" s="115" t="n">
        <x:v>283</x:v>
      </x:c>
      <x:c r="E6" s="115" t="n">
        <x:v>17</x:v>
      </x:c>
      <x:c r="F6" s="115" t="n">
        <x:v>12</x:v>
      </x:c>
      <x:c r="G6" s="115" t="n">
        <x:v>12</x:v>
      </x:c>
      <x:c r="H6" s="115" t="str">
        <x:v>—</x:v>
      </x:c>
      <x:c r="I6" s="115" t="str">
        <x:v>—</x:v>
      </x:c>
      <x:c r="J6" s="115" t="str">
        <x:v>—</x:v>
      </x:c>
      <x:c r="K6" s="113" t="str">
        <x:v>中国分项可辨出2017 U16 BAM未吸收。</x:v>
      </x:c>
      <x:c r="L6" s="113" t="str">
        <x:v>https://championships.worldbridge.org/lyonwt17-files/bulletins/Bul_15.pdf</x:v>
      </x:c>
    </x:row>
    <x:row r="7">
      <x:c r="A7" s="16" t="str">
        <x:v>2018 Wujiang后</x:v>
      </x:c>
      <x:c r="B7" s="114" t="n">
        <x:v>283</x:v>
      </x:c>
      <x:c r="C7" s="114" t="n">
        <x:v>278</x:v>
      </x:c>
      <x:c r="D7" s="114" t="n">
        <x:v>287</x:v>
      </x:c>
      <x:c r="E7" s="114" t="n">
        <x:v>4</x:v>
      </x:c>
      <x:c r="F7" s="114" t="n">
        <x:v>4</x:v>
      </x:c>
      <x:c r="G7" s="114" t="n">
        <x:v>4</x:v>
      </x:c>
      <x:c r="H7" s="114" t="str">
        <x:v>—</x:v>
      </x:c>
      <x:c r="I7" s="114" t="str">
        <x:v>—</x:v>
      </x:c>
      <x:c r="J7" s="114" t="str">
        <x:v>—</x:v>
      </x:c>
      <x:c r="K7" s="16" t="str">
        <x:v>官方表注明updated after Wujiang。</x:v>
      </x:c>
      <x:c r="L7" s="16" t="str">
        <x:v>https://championships.worldbridge.org/orlandows18-files/bulletins/Bul_03.pdf</x:v>
      </x:c>
    </x:row>
    <x:row r="8">
      <x:c r="A8" s="113" t="str">
        <x:v>2018 Orlando结束</x:v>
      </x:c>
      <x:c r="B8" s="115" t="n">
        <x:v>291</x:v>
      </x:c>
      <x:c r="C8" s="115" t="n">
        <x:v>286</x:v>
      </x:c>
      <x:c r="D8" s="115" t="n">
        <x:v>298</x:v>
      </x:c>
      <x:c r="E8" s="115" t="n">
        <x:v>8</x:v>
      </x:c>
      <x:c r="F8" s="115" t="n">
        <x:v>8</x:v>
      </x:c>
      <x:c r="G8" s="115" t="n">
        <x:v>11</x:v>
      </x:c>
      <x:c r="H8" s="115" t="n">
        <x:v>8</x:v>
      </x:c>
      <x:c r="I8" s="115" t="n">
        <x:v>8</x:v>
      </x:c>
      <x:c r="J8" s="115" t="n">
        <x:v>11</x:v>
      </x:c>
      <x:c r="K8" s="113" t="str">
        <x:v>全球增量与Orlando奖牌表完全一致，无历史重算。</x:v>
      </x:c>
      <x:c r="L8" s="113" t="str">
        <x:v>https://championships.worldbridge.org/orlandows18-files/bulletins/Bul_16.pdf</x:v>
      </x:c>
    </x:row>
    <x:row r="9">
      <x:c r="A9" s="16" t="str">
        <x:v>2022 Salsomaggiore结束</x:v>
      </x:c>
      <x:c r="B9" s="114" t="n">
        <x:v>312.83</x:v>
      </x:c>
      <x:c r="C9" s="114" t="n">
        <x:v>308</x:v>
      </x:c>
      <x:c r="D9" s="114" t="n">
        <x:v>325</x:v>
      </x:c>
      <x:c r="E9" s="114" t="n">
        <x:v>21.83</x:v>
      </x:c>
      <x:c r="F9" s="114" t="n">
        <x:v>22</x:v>
      </x:c>
      <x:c r="G9" s="114" t="n">
        <x:v>27</x:v>
      </x:c>
      <x:c r="H9" s="114" t="str">
        <x:v>—</x:v>
      </x:c>
      <x:c r="I9" s="114" t="str">
        <x:v>—</x:v>
      </x:c>
      <x:c r="J9" s="114" t="str">
        <x:v>—</x:v>
      </x:c>
      <x:c r="K9" s="16" t="str">
        <x:v>间隔跨越2019与2022；中国分项可辨出旧漏项回填。</x:v>
      </x:c>
      <x:c r="L9" s="16" t="str">
        <x:v>https://championships.worldbridge.org/salsomaggiore22-files/bulletins/Bul_14.pdf</x:v>
      </x:c>
    </x:row>
    <x:row r="10">
      <x:c r="A10" s="113" t="str">
        <x:v>2022 Youth后</x:v>
      </x:c>
      <x:c r="B10" s="115" t="n">
        <x:v>325.83</x:v>
      </x:c>
      <x:c r="C10" s="115" t="n">
        <x:v>321</x:v>
      </x:c>
      <x:c r="D10" s="115" t="n">
        <x:v>340</x:v>
      </x:c>
      <x:c r="E10" s="115" t="n">
        <x:v>13</x:v>
      </x:c>
      <x:c r="F10" s="115" t="n">
        <x:v>13</x:v>
      </x:c>
      <x:c r="G10" s="115" t="n">
        <x:v>15</x:v>
      </x:c>
      <x:c r="H10" s="115" t="n">
        <x:v>12</x:v>
      </x:c>
      <x:c r="I10" s="115" t="n">
        <x:v>12</x:v>
      </x:c>
      <x:c r="J10" s="115" t="n">
        <x:v>12</x:v>
      </x:c>
      <x:c r="K10" s="113" t="str">
        <x:v>除本届12套外，全球额外1金1银3铜；CHN+1铜、HKG+1铜分属不同行。</x:v>
      </x:c>
      <x:c r="L10" s="113" t="str">
        <x:v>https://championships.worldbridge.org/wroclawws22-files/Bul_03.pdf
https://championships.worldbridge.org/salsomaggiore22-files/bulletins-youth/Bul_08.pdf</x:v>
      </x:c>
    </x:row>
    <x:row r="11">
      <x:c r="A11" s="132" t="str">
        <x:v>2022 Wroclaw结束</x:v>
      </x:c>
      <x:c r="B11" s="133" t="n">
        <x:v>339.8366667</x:v>
      </x:c>
      <x:c r="C11" s="133" t="n">
        <x:v>335</x:v>
      </x:c>
      <x:c r="D11" s="133" t="n">
        <x:v>358</x:v>
      </x:c>
      <x:c r="E11" s="133" t="n">
        <x:v>14.0066667</x:v>
      </x:c>
      <x:c r="F11" s="133" t="n">
        <x:v>14</x:v>
      </x:c>
      <x:c r="G11" s="133" t="n">
        <x:v>18</x:v>
      </x:c>
      <x:c r="H11" s="133" t="n">
        <x:v>8</x:v>
      </x:c>
      <x:c r="I11" s="133" t="n">
        <x:v>8</x:v>
      </x:c>
      <x:c r="J11" s="133" t="n">
        <x:v>12</x:v>
      </x:c>
      <x:c r="K11" s="132" t="str">
        <x:v>扣除当届奖牌表后，全球还额外约6金6银6铜；CHN占其中1银2铜。</x:v>
      </x:c>
      <x:c r="L11" s="132" t="str">
        <x:v>https://championships.worldbridge.org/wroclawws22-files/Bul_16.pdf</x:v>
      </x:c>
    </x:row>
    <x:row r="12">
      <x:c r="A12" s="126" t="str">
        <x:v>2023 Marrakech赛前</x:v>
      </x:c>
      <x:c r="B12" s="127" t="n">
        <x:v>345.837</x:v>
      </x:c>
      <x:c r="C12" s="127" t="n">
        <x:v>341</x:v>
      </x:c>
      <x:c r="D12" s="127" t="n">
        <x:v>364</x:v>
      </x:c>
      <x:c r="E12" s="127" t="n">
        <x:v>6.0003333</x:v>
      </x:c>
      <x:c r="F12" s="127" t="n">
        <x:v>6</x:v>
      </x:c>
      <x:c r="G12" s="127" t="n">
        <x:v>6</x:v>
      </x:c>
      <x:c r="H12" s="127" t="str">
        <x:v>公报文字称5 sets</x:v>
      </x:c>
      <x:c r="I12" s="127" t="str">
        <x:v>—</x:v>
      </x:c>
      <x:c r="J12" s="127" t="str">
        <x:v>—</x:v>
      </x:c>
      <x:c r="K12" s="126" t="str">
        <x:v>文字称5套青年团体奖牌，Total行却约+6/+6/+6，说明仍有口径调整。</x:v>
      </x:c>
      <x:c r="L12" s="126" t="str">
        <x:v>https://championships.worldbridge.org/marrakech23-files/bulletins/Bul_05.pdf</x:v>
      </x:c>
    </x:row>
    <x:row r="13">
      <x:c r="A13" s="126" t="str">
        <x:v>2023 Marrakech结束</x:v>
      </x:c>
      <x:c r="B13" s="127" t="n">
        <x:v>355.83</x:v>
      </x:c>
      <x:c r="C13" s="127" t="n">
        <x:v>351</x:v>
      </x:c>
      <x:c r="D13" s="127" t="n">
        <x:v>374</x:v>
      </x:c>
      <x:c r="E13" s="127" t="n">
        <x:v>9.993</x:v>
      </x:c>
      <x:c r="F13" s="127" t="n">
        <x:v>10</x:v>
      </x:c>
      <x:c r="G13" s="127" t="n">
        <x:v>10</x:v>
      </x:c>
      <x:c r="H13" s="127" t="str">
        <x:v>公报文字称5 sets</x:v>
      </x:c>
      <x:c r="I13" s="127" t="str">
        <x:v>—</x:v>
      </x:c>
      <x:c r="J13" s="127" t="str">
        <x:v>—</x:v>
      </x:c>
      <x:c r="K13" s="126" t="str">
        <x:v>公报无历史修订明细；CHN超出同期可落实赛果3铜。</x:v>
      </x:c>
      <x:c r="L13" s="126" t="str">
        <x:v>https://championships.worldbridge.org/marrakech23-files/bulletins/Bul_15.pdf</x:v>
      </x:c>
    </x:row>
  </x:sheetData>
  <x:mergeCells>
    <x:mergeCell ref="A1:L1"/>
    <x:mergeCell ref="A2:L2"/>
  </x:mergeCells>
  <x:pageMargins left="0.7" right="0.7" top="0.75" bottom="0.75" header="0.3" footer="0.3"/>
</x:worksheet>
</file>